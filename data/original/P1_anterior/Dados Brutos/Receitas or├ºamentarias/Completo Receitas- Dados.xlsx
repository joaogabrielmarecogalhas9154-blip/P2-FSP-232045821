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SP P1\Excel\"/>
    </mc:Choice>
  </mc:AlternateContent>
  <bookViews>
    <workbookView xWindow="0" yWindow="0" windowWidth="38400" windowHeight="12435" tabRatio="596"/>
  </bookViews>
  <sheets>
    <sheet name="Barreiras - BA (2014) " sheetId="1" r:id="rId1"/>
    <sheet name="Camaçari - BA (2014)" sheetId="2" r:id="rId2"/>
    <sheet name="Barreiras- BA (2015)" sheetId="3" r:id="rId3"/>
    <sheet name="Camaçari - BA (2015)" sheetId="4" r:id="rId4"/>
    <sheet name="Barreiras - BA (2016) " sheetId="5" r:id="rId5"/>
    <sheet name="Camaçari - BA (2016)" sheetId="6" r:id="rId6"/>
    <sheet name="Barreiras - BA (2017)" sheetId="7" r:id="rId7"/>
    <sheet name="Camaçari - BA (2017)" sheetId="8" r:id="rId8"/>
    <sheet name="Barreiras - BA (2018)" sheetId="9" r:id="rId9"/>
    <sheet name="Camaçari - BA (2018)" sheetId="10" r:id="rId10"/>
    <sheet name="Barreiras - BA (2019)" sheetId="11" r:id="rId11"/>
    <sheet name="Camaçari - BA (2019)" sheetId="12" r:id="rId12"/>
    <sheet name="Barreiras - BA (2020)" sheetId="13" r:id="rId13"/>
    <sheet name="Camaçari - BA (2020)" sheetId="14" r:id="rId14"/>
    <sheet name="Barreiras - BA (2021)" sheetId="15" r:id="rId15"/>
    <sheet name="Camaçari - BA (2021)" sheetId="16" r:id="rId16"/>
    <sheet name="Barreiras - BA (2022)" sheetId="17" r:id="rId17"/>
    <sheet name="Camaçari - BA (2022)" sheetId="18" r:id="rId18"/>
    <sheet name="Barreiras - BA (2023)" sheetId="19" r:id="rId19"/>
    <sheet name="Camaçari - BA (2023)" sheetId="20" r:id="rId20"/>
  </sheets>
  <definedNames>
    <definedName name="_xlnm._FilterDatabase" localSheetId="0" hidden="1">'Barreiras - BA (2014) '!$A$4:$F$73</definedName>
    <definedName name="_xlnm._FilterDatabase" localSheetId="4" hidden="1">'Barreiras - BA (2016) '!$A$4:$G$85</definedName>
    <definedName name="_xlnm._FilterDatabase" localSheetId="2" hidden="1">'Barreiras- BA (2015)'!$A$4:$H$86</definedName>
    <definedName name="_xlnm._FilterDatabase" localSheetId="1" hidden="1">'Camaçari - BA (2014)'!$A$4:$H$95</definedName>
    <definedName name="_xlnm._FilterDatabase" localSheetId="3" hidden="1">'Camaçari - BA (2015)'!$A$4:$H$102</definedName>
    <definedName name="_xlnm._FilterDatabase" localSheetId="5" hidden="1">'Camaçari - BA (2016)'!$A$4:$H$114</definedName>
  </definedNames>
  <calcPr calcId="152511"/>
</workbook>
</file>

<file path=xl/calcChain.xml><?xml version="1.0" encoding="utf-8"?>
<calcChain xmlns="http://schemas.openxmlformats.org/spreadsheetml/2006/main">
  <c r="F14" i="20" l="1"/>
  <c r="F13" i="20"/>
  <c r="F12" i="20"/>
  <c r="F11" i="20"/>
  <c r="F10" i="20"/>
  <c r="F9" i="20"/>
  <c r="F8" i="20"/>
  <c r="F7" i="20"/>
  <c r="F6" i="20"/>
  <c r="F5" i="20"/>
  <c r="F14" i="19"/>
  <c r="F13" i="19"/>
  <c r="F12" i="19"/>
  <c r="F11" i="19"/>
  <c r="F10" i="19"/>
  <c r="F9" i="19"/>
  <c r="F8" i="19"/>
  <c r="F7" i="19"/>
  <c r="F6" i="19"/>
  <c r="F5" i="19"/>
  <c r="F14" i="18"/>
  <c r="F13" i="18"/>
  <c r="F12" i="18"/>
  <c r="F11" i="18"/>
  <c r="F10" i="18"/>
  <c r="F9" i="18"/>
  <c r="F8" i="18"/>
  <c r="F7" i="18"/>
  <c r="F6" i="18"/>
  <c r="F5" i="18"/>
  <c r="F14" i="17"/>
  <c r="F13" i="17"/>
  <c r="F12" i="17"/>
  <c r="F11" i="17"/>
  <c r="F10" i="17"/>
  <c r="F9" i="17"/>
  <c r="F8" i="17"/>
  <c r="F7" i="17"/>
  <c r="F6" i="17"/>
  <c r="F5" i="17"/>
  <c r="F14" i="16"/>
  <c r="F13" i="16"/>
  <c r="F12" i="16"/>
  <c r="F11" i="16"/>
  <c r="F10" i="16"/>
  <c r="F9" i="16"/>
  <c r="F8" i="16"/>
  <c r="F7" i="16"/>
  <c r="F6" i="16"/>
  <c r="F5" i="16"/>
  <c r="F14" i="15"/>
  <c r="F13" i="15"/>
  <c r="F12" i="15"/>
  <c r="F11" i="15"/>
  <c r="F10" i="15"/>
  <c r="F9" i="15"/>
  <c r="F8" i="15"/>
  <c r="F7" i="15"/>
  <c r="F6" i="15"/>
  <c r="F5" i="15"/>
  <c r="F14" i="14"/>
  <c r="F13" i="14"/>
  <c r="F12" i="14"/>
  <c r="F11" i="14"/>
  <c r="F10" i="14"/>
  <c r="F9" i="14"/>
  <c r="F8" i="14"/>
  <c r="F7" i="14"/>
  <c r="F6" i="14"/>
  <c r="F5" i="14"/>
  <c r="F14" i="13"/>
  <c r="F13" i="13"/>
  <c r="F12" i="13"/>
  <c r="F11" i="13"/>
  <c r="F10" i="13"/>
  <c r="F9" i="13"/>
  <c r="F8" i="13"/>
  <c r="F7" i="13"/>
  <c r="F6" i="13"/>
  <c r="F5" i="13"/>
  <c r="F14" i="12"/>
  <c r="F13" i="12"/>
  <c r="F12" i="12"/>
  <c r="F11" i="12"/>
  <c r="F10" i="12"/>
  <c r="F9" i="12"/>
  <c r="F8" i="12"/>
  <c r="F7" i="12"/>
  <c r="F6" i="12"/>
  <c r="F5" i="12"/>
  <c r="F14" i="11"/>
  <c r="F13" i="11"/>
  <c r="F12" i="11"/>
  <c r="F11" i="11"/>
  <c r="F10" i="11"/>
  <c r="F9" i="11"/>
  <c r="F8" i="11"/>
  <c r="F7" i="11"/>
  <c r="F6" i="11"/>
  <c r="F5" i="11"/>
  <c r="F14" i="10"/>
  <c r="F13" i="10"/>
  <c r="F12" i="10"/>
  <c r="F11" i="10"/>
  <c r="F10" i="10"/>
  <c r="F9" i="10"/>
  <c r="F8" i="10"/>
  <c r="F7" i="10"/>
  <c r="F6" i="10"/>
  <c r="F5" i="10"/>
  <c r="F14" i="9"/>
  <c r="F13" i="9"/>
  <c r="F12" i="9"/>
  <c r="F11" i="9"/>
  <c r="F10" i="9"/>
  <c r="F9" i="9"/>
  <c r="F8" i="9"/>
  <c r="F7" i="9"/>
  <c r="F6" i="9"/>
  <c r="F5" i="9"/>
  <c r="F14" i="8"/>
  <c r="F13" i="8"/>
  <c r="F12" i="8"/>
  <c r="F11" i="8"/>
  <c r="F10" i="8"/>
  <c r="F9" i="8"/>
  <c r="F8" i="8"/>
  <c r="F7" i="8"/>
  <c r="F6" i="8"/>
  <c r="F5" i="8"/>
  <c r="F14" i="7"/>
  <c r="F13" i="7"/>
  <c r="F12" i="7"/>
  <c r="F11" i="7"/>
  <c r="F10" i="7"/>
  <c r="F9" i="7"/>
  <c r="F8" i="7"/>
  <c r="F7" i="7"/>
  <c r="F6" i="7"/>
  <c r="F5" i="7"/>
  <c r="F13" i="6"/>
  <c r="F13" i="5"/>
  <c r="H49" i="3"/>
  <c r="F13" i="2"/>
  <c r="F13" i="1"/>
  <c r="F5" i="1"/>
</calcChain>
</file>

<file path=xl/sharedStrings.xml><?xml version="1.0" encoding="utf-8"?>
<sst xmlns="http://schemas.openxmlformats.org/spreadsheetml/2006/main" count="4632" uniqueCount="568">
  <si>
    <t>Exercício: 2014</t>
  </si>
  <si>
    <t>Escopo: Municípios</t>
  </si>
  <si>
    <t>Tabela: Receitas Orçamentárias (Anexo I-C)</t>
  </si>
  <si>
    <t>Instituição</t>
  </si>
  <si>
    <t>Conta</t>
  </si>
  <si>
    <t>Valor</t>
  </si>
  <si>
    <t>Prefeitura Municipal de Barreiras - BA</t>
  </si>
  <si>
    <t>Total Receitas</t>
  </si>
  <si>
    <t>1.0.0.0.00.00.00 - Receitas Correntes</t>
  </si>
  <si>
    <t>Receita_Tributaria</t>
  </si>
  <si>
    <t>1.1.0.0.00.00.00 - Receita Tributária</t>
  </si>
  <si>
    <t>IPTU</t>
  </si>
  <si>
    <t>1.1.1.0.00.00.00 - Impostos</t>
  </si>
  <si>
    <t>ITBI</t>
  </si>
  <si>
    <t>1.1.1.2.00.00.00 - Impostos sobre o Patrimônio e a Renda</t>
  </si>
  <si>
    <t>ISS</t>
  </si>
  <si>
    <t>1.1.1.2.02.00.00 - Imposto sobre a Propriedade Predial e Territorial Urbana ¿ IPTU</t>
  </si>
  <si>
    <t>Transferencias</t>
  </si>
  <si>
    <t>1.1.1.2.04.00.00 - Imposto sobre a Renda e Proventos de Qualquer Natureza ¿ IR</t>
  </si>
  <si>
    <t>FPM</t>
  </si>
  <si>
    <t>1.1.1.2.04.31.00 - Retido nas Fontes - Trabalho</t>
  </si>
  <si>
    <t>ICMS</t>
  </si>
  <si>
    <t>1.1.1.2.04.34.00 - Retido nas Fontes - Outros Rendimentos</t>
  </si>
  <si>
    <t>FUNDEB</t>
  </si>
  <si>
    <t>1.1.1.2.08.00.00 - Imposto sobre Transmissão Inter Vivos" de Bens Imóveis e de Direitos Reais sobre Imóveis ¿ ITBI"</t>
  </si>
  <si>
    <t>Receita_Capital</t>
  </si>
  <si>
    <t>1.1.1.3.00.00.00 - Impostos sobre a Produção e a Circulação</t>
  </si>
  <si>
    <t>1.1.1.3.05.00.00 - Imposto sobre Serviços de Qualquer Natureza ¿ ISSQN</t>
  </si>
  <si>
    <t>1.1.2.0.00.00.00 - Taxas</t>
  </si>
  <si>
    <t>1.1.2.1.00.00.00 - Taxas pelo Exercício do Poder de Polícia</t>
  </si>
  <si>
    <t>1.1.2.2.00.00.00 - Taxas pela Prestação de Serviços</t>
  </si>
  <si>
    <t>1.2.0.0.00.00.00 - Receitas de Contribuições</t>
  </si>
  <si>
    <t>1.2.3.0.00.00.00 - Contribuição para Custeio do Serviço de Iluminação Pública</t>
  </si>
  <si>
    <t>1.3.0.0.00.00.00 - Receita Patrimonial</t>
  </si>
  <si>
    <t>1.3.2.0.00.00.00 - Receitas de Valores Mobiliários</t>
  </si>
  <si>
    <t>1.3.2.9.00.00.00 - Outras Receitas de Valores Mobiliários</t>
  </si>
  <si>
    <t>1.7.0.0.00.00.00 - Transferências Correntes</t>
  </si>
  <si>
    <t>1.7.2.0.00.00.00 - Transferências Intergovernamentais</t>
  </si>
  <si>
    <t>1.7.2.1.00.00.00 - Transferências da União</t>
  </si>
  <si>
    <t>1.7.2.1.01.00.00 - Participação na Receita da União</t>
  </si>
  <si>
    <t>1.7.2.1.01.02.00 - Cota-Parte do Fundo de Participação dos Municípios ¿ FPM</t>
  </si>
  <si>
    <t>1.7.2.1.01.05.00 - Cota-Parte do Imposto Sobre a Propriedade Territorial Rural ¿ ITR</t>
  </si>
  <si>
    <t>1.7.2.1.01.30.00 - Cota-Parte da Contribuição do Salário-Educação</t>
  </si>
  <si>
    <t>1.7.2.1.22.00.00 - Transferências da Compensação Financeira pela Exploração de Recursos Naturais</t>
  </si>
  <si>
    <t>1.7.2.1.22.50.00 - Cota-Parte Royalties pela Participação Especial - Lei nº 9.478/97 artigo 50</t>
  </si>
  <si>
    <t>1.7.2.1.22.90.00 - Outras Transferências Decorrentes de Compensação Financeira pela Exploração de Recursos Naturais</t>
  </si>
  <si>
    <t>1.7.2.1.33.00.00 - Transferências de Recursos do Sistema Único de Saúde - SUS - Repasses Fundo a Fundo</t>
  </si>
  <si>
    <t>1.7.2.1.36.00.00 - Transferências Financeiras do ICMS ¿ Desoneração ¿ L.C. Nº 87/96</t>
  </si>
  <si>
    <t>1.7.2.1.99.00.00 - Outras Transferências da União</t>
  </si>
  <si>
    <t>1.7.2.2.00.00.00 - Transferências dos Estados</t>
  </si>
  <si>
    <t>1.7.2.2.01.00.00 - Participação na Receita dos Estados</t>
  </si>
  <si>
    <t>1.7.2.2.01.01.00 - Cota-Parte do ICMS</t>
  </si>
  <si>
    <t>1.7.2.2.01.02.00 - Cota-Parte do IPVA</t>
  </si>
  <si>
    <t>1.7.2.2.01.04.00 - Cota-Parte do IPI sobre Exportação</t>
  </si>
  <si>
    <t>1.7.2.2.01.13.00 - Cota-Parte da Contribuição de Intervenção no Domínio Econômico</t>
  </si>
  <si>
    <t>1.7.2.2.01.99.00 - Outras Participações na Receita dos Estados</t>
  </si>
  <si>
    <t>1.7.2.4.00.00.00 - Transferências Multigovernamentais</t>
  </si>
  <si>
    <t>1.7.2.4.01.00.00 - Transferências de Recursos do Fundo de Manutenção e Desenvolvimento do Ensino Fundamental e de Valorização do Magistério - FUNDEB</t>
  </si>
  <si>
    <t>1.7.2.4.02.00.00 - Transferências de Recursos da Complementação ao Fundo de Manutenção e Desenvolvimento do Ensino Fundamental e de Valorização do Magistério - FUNDEB</t>
  </si>
  <si>
    <t>1.7.6.0.00.00.00 - Transferências de Convênios</t>
  </si>
  <si>
    <t>1.7.6.3.00.00.00 - Transferências de Convênios dos Municípios e de Suas Entidades</t>
  </si>
  <si>
    <t>1.7.6.3.02.00.00 - Transferências de Convênios dos Municípios Destinadas a Programas de Educação</t>
  </si>
  <si>
    <t>1.7.6.3.99.00.00 - Outras Transferências de Convênios dos Municípios</t>
  </si>
  <si>
    <t>1.9.0.0.00.00.00 - Outras Receitas Correntes</t>
  </si>
  <si>
    <t>1.9.1.0.00.00.00 - Multas e Juros de Mora</t>
  </si>
  <si>
    <t>1.9.1.1.00.00.00 - Multas e Juros de Mora dos Tributos</t>
  </si>
  <si>
    <t>1.9.1.3.00.00.00 - Multas e Juros de Mora da Dívida Ativa dos Tributos</t>
  </si>
  <si>
    <t>1.9.1.9.00.00.00 - Multas de Outras Origens</t>
  </si>
  <si>
    <t>1.9.2.0.00.00.00 - Indenizações e Restituições</t>
  </si>
  <si>
    <t>1.9.2.1.00.00.00 - Indenizações</t>
  </si>
  <si>
    <t>1.9.2.2.00.00.00 - Restituições</t>
  </si>
  <si>
    <t>1.9.2.2.99.00.00 - Outras Restituições</t>
  </si>
  <si>
    <t>1.9.3.0.00.00.00 - Receita da Dívida Ativa</t>
  </si>
  <si>
    <t>1.9.3.1.00.00.00 - Receita da Dívida Ativa Tributária</t>
  </si>
  <si>
    <t>1.9.9.0.00.00.00 - Receitas Diversas</t>
  </si>
  <si>
    <t>2.0.0.0.00.00.00 - Receitas de Capital</t>
  </si>
  <si>
    <t>2.2.0.0.00.00.00 - Alienação de Bens</t>
  </si>
  <si>
    <t>2.2.1.0.00.00.00 - Alienação de Bens Móveis</t>
  </si>
  <si>
    <t>2.4.0.0.00.00.00 - Transferências de Capital</t>
  </si>
  <si>
    <t>2.4.2.0.00.00.00 - Transferências Intergovernamentais</t>
  </si>
  <si>
    <t>2.4.2.1.00.00.00 - Transferências da União</t>
  </si>
  <si>
    <t>2.4.2.1.99.00.00 - Outras Transferências da União</t>
  </si>
  <si>
    <t>2.4.7.0.00.00.00 - Transferências de Convênios</t>
  </si>
  <si>
    <t>2.4.7.1.00.00.00 - Transferências de Convênios da União e de suas Entidades</t>
  </si>
  <si>
    <t>2.4.7.1.99.00.00 - Outras Transferências de Convênios da União</t>
  </si>
  <si>
    <t>Prefeitura Municipal de Camaçari - BA</t>
  </si>
  <si>
    <t>1.2.1.0.00.00.00 - Contribuições Sociais</t>
  </si>
  <si>
    <t>1.2.1.0.29.00.00 - Contribuições para o Regime Próprio de Previdência do Servidor Público</t>
  </si>
  <si>
    <t>1.2.1.0.29.07.00 - Contribuição do Servidor Ativo Civil para o Regime Próprio</t>
  </si>
  <si>
    <t>1.2.1.0.29.09.00 - Contribuições do Servidor Inativo Civil para o Regime Próprio</t>
  </si>
  <si>
    <t>1.2.1.0.29.11.00 - Contribuições de Pensionista Civil para o Regime Próprio</t>
  </si>
  <si>
    <t>1.2.1.0.99.00.00 - Outras Contribuições Sociais</t>
  </si>
  <si>
    <t>1.3.2.1.00.00.00 - Juros de Títulos de Renda</t>
  </si>
  <si>
    <t>1.3.2.5.00.00.00 - Remuneração de Depósitos Bancários</t>
  </si>
  <si>
    <t>1.3.2.8.00.00.00 - Remuneração dos Investimentos do Regime Próprio de Previdência do Servidor</t>
  </si>
  <si>
    <t>1.6.0.0.00.00.00 - Receita de Serviços</t>
  </si>
  <si>
    <t>1.6.0.0.13.00.00 - Serviços Administrativos</t>
  </si>
  <si>
    <t>1.6.0.0.99.00.00 - Demais Receitas de Serviços</t>
  </si>
  <si>
    <t>1.7.2.1.22.20.00 - Cota-Parte da Compensação Financeira de Recursos Minerais - CFEM</t>
  </si>
  <si>
    <t>1.7.2.1.22.40.00 - Cota-Parte Royalties pelo Excedente da Produção do Petróleo - Lei nº 9.478/97 artigo 49 I e II</t>
  </si>
  <si>
    <t>1.7.2.1.22.70.00 - Cota-Parte do Fundo Especial do Petróleo ¿ FEP</t>
  </si>
  <si>
    <t>1.7.2.1.34.00.00 - Transferências de Recursos do Fundo Nacional de Assistência Social ¿ FNAS</t>
  </si>
  <si>
    <t>1.7.2.1.35.00.00 - Transferências de Recursos do Fundo Nacional do Desenvolvimento da Educação ¿ FNDE</t>
  </si>
  <si>
    <t>1.7.2.2.33.00.00 - Transferências de Recursos do Estado para Programas de Saúde - Repasse Fundo a Fundo</t>
  </si>
  <si>
    <t>1.7.2.2.37.00.00 - Transferências a Consórcios Públicos</t>
  </si>
  <si>
    <t>1.7.6.1.00.00.00 - Transferências de Convênios da União e de Suas Entidades</t>
  </si>
  <si>
    <t>1.7.6.1.99.00.00 - Outras Transferências de Convênios da União</t>
  </si>
  <si>
    <t>1.9.1.2.00.00.00 - Multas e Juros de Mora das Contribuições</t>
  </si>
  <si>
    <t>1.9.1.4.00.00.00 - Multas e Juros de Mora da Dívida Ativa das Contribuições</t>
  </si>
  <si>
    <t>1.9.1.5.00.00.00 - Multas e Juros de Mora da Dívida Ativa de Outras Receitas</t>
  </si>
  <si>
    <t>1.9.1.8.00.00.00 - Multas e Juros de Mora de Outras Receitas</t>
  </si>
  <si>
    <t>1.9.3.2.00.00.00 - Receita da Dívida Ativa Não Tributária</t>
  </si>
  <si>
    <t>2.4.2.1.01.00.00 - Participação na Receita da União</t>
  </si>
  <si>
    <t>7.0.0.0.00.00.00 - Receitas Correntes Intraorçamentárias</t>
  </si>
  <si>
    <t>7.2.0.0.00.00.00 - Receitas de Contribuições Intraorçamentárias</t>
  </si>
  <si>
    <t>7.2.1.0.00.00.00 - Contribuições Sociais Intraorçamentárias</t>
  </si>
  <si>
    <t>7.2.1.0.29.00.00 - Contribuições para o Regime Próprio de Previdência do Servidor Público Intraorçamentárias</t>
  </si>
  <si>
    <t>7.2.1.0.29.99.00 - Outras Contribuições para o Regime Próprio de Previdência do Servidor Público Intraorçamentárias</t>
  </si>
  <si>
    <t>7.9.0.0.00.00.00 - Outras Receitas Correntes Intraorçamentárias</t>
  </si>
  <si>
    <t>7.9.9.9.00.00.00 - Demais Receitas Correntes Intraorçamentárias</t>
  </si>
  <si>
    <t>Exercício: 2015</t>
  </si>
  <si>
    <t>Transferencias C.</t>
  </si>
  <si>
    <t>1.7.2.1.09.00.00 - Outras Transferências da União</t>
  </si>
  <si>
    <t>1.7.2.1.09.99.00 - Demais Transferências da União</t>
  </si>
  <si>
    <t>1.7.2.2.99.00.00 - Outras Transferências dos Estados</t>
  </si>
  <si>
    <t>1.7.6.1.03.00.00 - Transferências de Convênios da União Destinadas a Programas de Assistência Social</t>
  </si>
  <si>
    <t>1.7.6.2.00.00.00 - Transferências de Convênios dos Estados e do Distrito Federal e de Suas Entidades</t>
  </si>
  <si>
    <t>1.7.6.2.02.00.00 - Transferências de Convênios dos Estados Destinadas a Programas de Educação</t>
  </si>
  <si>
    <t>1.9.1.1.38.00.00 - Multas e Juros de Mora do Imposto sobre a Propriedade Predial e Territorial Urbana ¿ IPTU</t>
  </si>
  <si>
    <t>1.9.1.1.39.00.00 - Multas e Juros de Mora do Imposto sobre a Transmissão Inter Vivos de Bens Imóveis - ITBI</t>
  </si>
  <si>
    <t>1.9.1.1.40.00.00 - Multas e Juros de Mora do Imposto sobre Serviços de Qualquer Natureza ¿ ISS</t>
  </si>
  <si>
    <t>1.9.1.1.99.00.00 - Multas e Juros de Mora de Outros Tributos</t>
  </si>
  <si>
    <t>1.9.1.3.11.00.00 - Multas e Juros de Mora da Dívida Ativa do Imposto sobre a Propriedade Predial e Territorial Urbana ¿ IPTU</t>
  </si>
  <si>
    <t>1.9.1.3.13.00.00 - Multas e Juros de Mora da Dívida Ativa do Imposto sobre Serviços de Qualquer Natureza ¿ ISS</t>
  </si>
  <si>
    <t>1.9.1.3.99.00.00 - Multas e Juros de Mora da Dívida Ativa de Outros Tributos</t>
  </si>
  <si>
    <t>1.9.3.1.11.00.00 - Receita da Dívida Ativa do Imposto sobre a Propriedade Predial e Territorial Urbana ¿ IPTU</t>
  </si>
  <si>
    <t>1.9.3.1.13.00.00 - Receita da Dívida Ativa do Imposto sobre Serviços de Qualquer Natureza ¿ ISS</t>
  </si>
  <si>
    <t>1.9.3.1.99.00.00 - Receita da Dívida Ativa de Outros Tributos</t>
  </si>
  <si>
    <t>2.4.2.1.02.00.00 - Transferências de Recursos Destinados a Programas de Educação</t>
  </si>
  <si>
    <t>2.4.7.1.01.00.00 - Transferências de Convênios da União para o Sistema Único de Saúde - SUS</t>
  </si>
  <si>
    <t>1.2.1.0.29.10.00 - Contribuições de Servidor Inativo Militar</t>
  </si>
  <si>
    <t>1.6.0.0.43.00.00 - Serviços de Coleta, Transporte, Tratamento e Destino Final de Resíduos Sólidos</t>
  </si>
  <si>
    <t>1.6.0.0.99.00.00 - Outros Serviços</t>
  </si>
  <si>
    <t>2.1.0.0.00.00.00 - Operações de Crédito</t>
  </si>
  <si>
    <t>2.1.1.0.00.00.00 - Operações de Crédito Internas</t>
  </si>
  <si>
    <t>2.2.2.0.00.00.00 - Alienação de Bens Imóveis</t>
  </si>
  <si>
    <t>7.2.1.0.99.00.00 - Outras Contribuições Sociais Intraorçamentárias</t>
  </si>
  <si>
    <t>Exercício: 2016</t>
  </si>
  <si>
    <t>1.1.2.2.28.00.00 - Taxa de Cemitérios</t>
  </si>
  <si>
    <t>1.1.2.2.99.00.00 - Outras Taxas pela Prestação de Serviços</t>
  </si>
  <si>
    <t>1.7.2.1.01.03.00 - Cota-Parte do Fundo de Participação dos Municípios - 1% Cota Anual</t>
  </si>
  <si>
    <t>1.7.2.2.01.04.00 - Cota-Parte do IPI - Municípios</t>
  </si>
  <si>
    <t>1.7.6.2.99.00.00 - Outras Transferências de Convênios dos Estados</t>
  </si>
  <si>
    <t>1.9.3.2.99.00.00 - Receita da Dívida Ativa Não Tributária de Outras Receitas</t>
  </si>
  <si>
    <t>1.9.9.0.99.00.00 - Outras Receitas</t>
  </si>
  <si>
    <t>1.1.2.2.90.00.00 - Taxa de Limpeza Pública</t>
  </si>
  <si>
    <t>1.3.6.0.00.00.00 - Receita da Cessão de Direitos</t>
  </si>
  <si>
    <t>1.9.1.2.99.00.00 - Multas e Juros de Mora de Outras Contribuições</t>
  </si>
  <si>
    <t>1.9.1.4.99.00.00 - Multas e Juros de Mora da Dívida Ativa de Outras Contribuições</t>
  </si>
  <si>
    <t>1.9.1.5.99.00.00 - Outras Multas e Juros de Mora da Dívida Ativa de Outras Receitas</t>
  </si>
  <si>
    <t>1.9.3.2.16.00.00 - Receita da Dívida Ativa de Outras Contribuições</t>
  </si>
  <si>
    <t>1.9.9.0.02.00.00 - Encargos Legais pela Inscrição em Dívida Ativa e Receitas de Ônus de Sucumbência</t>
  </si>
  <si>
    <t>2.4.7.4.00.00.00 - Transferências de Convênios de Instituições Privadas</t>
  </si>
  <si>
    <t>Exercício: 2017</t>
  </si>
  <si>
    <t>1.1.3.0.00.00.00 - Contribuição de Melhoria</t>
  </si>
  <si>
    <t>1.1.3.0.02.00.00 - Contribuição de Melhoria para Expansão da Rede de Iluminação Pública na Cidade</t>
  </si>
  <si>
    <t>1.7.2.4.99.00.00 - Outras Transferências Multigovernamentais</t>
  </si>
  <si>
    <t>1.7.3.0.00.00.00 - Transferências de Instituições Privadas</t>
  </si>
  <si>
    <t>1.2.1.0.29.01.00 - Contribuição Patronal de Servidor Ativo Civil para o Regime Próprio</t>
  </si>
  <si>
    <t>1.7.2.1.01.04.00 - Cota-Parte do Fundo de Participação dos Municípios - 1% Cota entregue no mês de julho (67)(I)</t>
  </si>
  <si>
    <t>1.9.2.2.01.00.00 - Restituições de Convênios</t>
  </si>
  <si>
    <t>1.9.2.2.07.00.00 - Recuperação de Despesas de Exercícios Anteriores</t>
  </si>
  <si>
    <t>1.9.2.2.10.00.00 - Compensações Financeiras entre o Regime Geral e os Regimes Próprios de Previdência dos Servidores</t>
  </si>
  <si>
    <t>Exercício: 2018</t>
  </si>
  <si>
    <t>1.0.0.0.00.0.0 - Receitas Correntes</t>
  </si>
  <si>
    <t>1.1.0.0.00.0.0 - Impostos, Taxas e Contribuições de Melhoria</t>
  </si>
  <si>
    <t>1.1.1.0.00.0.0 - Impostos</t>
  </si>
  <si>
    <t>1.1.1.3.00.0.0 - Impostos sobre a Renda e Proventos de Qualquer Natureza</t>
  </si>
  <si>
    <t>1.1.1.3.03.0.0 - Imposto sobre a Renda - Retido na Fonte</t>
  </si>
  <si>
    <t>1.1.1.3.03.1.0 - Imposto sobre a Renda - Retido na Fonte - Trabalho</t>
  </si>
  <si>
    <t>1.1.1.3.03.4.0 - Imposto sobre a Renda - Retido na Fonte - Outros Rendimentos</t>
  </si>
  <si>
    <t>1.1.1.8.00.0.0 Impostos Específicos de Estados, DF e Municípios</t>
  </si>
  <si>
    <t>1.1.1.8.01.0.0 Impostos sobre o Patrimônio para Estados/DF/Municípios</t>
  </si>
  <si>
    <t>1.1.1.8.01.1.0 Imposto sobre a Propriedade Predial e Territorial Urbana</t>
  </si>
  <si>
    <t>1.1.1.8.01.4.0 Imposto sobre Transmissão ¿Inter Vivos¿ de Bens Imóveis e de Direitos Reais sobre Imóveis</t>
  </si>
  <si>
    <t>1.1.1.8.02.0.0 Impostos sobre a Produção, Circulação de Mercadorias e Serviços</t>
  </si>
  <si>
    <t>1.1.1.8.02.3.0 Imposto sobre Serviços de Qualquer Natureza</t>
  </si>
  <si>
    <t>1.1.2.0.00.0.0 - Taxas</t>
  </si>
  <si>
    <t>1.1.2.1.00.0.0 - Taxas pelo Exercício do Poder de Polícia</t>
  </si>
  <si>
    <t>1.1.2.1.01.0.0 - Taxas de Inspeção, Controle e Fiscalização</t>
  </si>
  <si>
    <t>1.1.2.2.00.0.0 - Taxas pela Prestação de Serviços</t>
  </si>
  <si>
    <t>1.1.2.2.01.0.0 - Taxas pela Prestação de Serviços</t>
  </si>
  <si>
    <t>1.2.0.0.00.0.0 - Contribuições</t>
  </si>
  <si>
    <t>1.2.4.0.00.0.0 - Contribuição para o Custeio do Serviço de Iluminação Pública</t>
  </si>
  <si>
    <t>1.3.0.0.00.0.0 - Receita Patrimonial</t>
  </si>
  <si>
    <t>1.3.2.0.00.0.0 - Valores Mobiliários</t>
  </si>
  <si>
    <t>1.3.2.1.00.0.0 - Juros e Correções Monetárias</t>
  </si>
  <si>
    <t>1.3.2.1.00.1.0 - Remuneração de Depósitos Bancários</t>
  </si>
  <si>
    <t>1.3.2.9.00.0.0 - Outros Valores Mobiliários</t>
  </si>
  <si>
    <t>1.3.6.0.00.0.0 - Cessão de Direitos</t>
  </si>
  <si>
    <t>1.7.0.0.00.0.0 - Transferências Correntes</t>
  </si>
  <si>
    <t>1.7.1.0.00.0.0 - Transferências da União e de suas Entidades</t>
  </si>
  <si>
    <t>1.7.1.8.00.0.0 Transferências da União - Específicas de Estados, DF e Municípios</t>
  </si>
  <si>
    <t>1.7.1.8.01.0.0 Participação na Receita da União</t>
  </si>
  <si>
    <t>1.7.1.8.01.2.0 Cota-Parte do Fundo de Participação dos Municípios - Cota Mensal</t>
  </si>
  <si>
    <t>1.7.1.8.01.3.0 Cota-Parte do Fundo de Participação do Municípios ¿ 1% Cota entregue no mês de dezembro</t>
  </si>
  <si>
    <t>1.7.1.8.01.4.0 Cota-Parte do Fundo de Participação dos Municípios - 1% Cota entregue no mês de julho</t>
  </si>
  <si>
    <t>1.7.1.8.01.5.0 Cota-Parte do Imposto Sobre a Propriedade Territorial Rural</t>
  </si>
  <si>
    <t>1.7.1.8.02.0.0 Transferência da Compensação Financeira pela Exploração de Recursos Naturais</t>
  </si>
  <si>
    <t>1.7.1.8.02.2.0 Cota-parte da Compensação Financeira de Recursos Minerais - CFEM</t>
  </si>
  <si>
    <t>1.7.1.8.02.6.0 Cota-Parte do Fundo Especial do Petróleo ¿ FEP</t>
  </si>
  <si>
    <t>1.7.1.8.03.0.0 Transferência de Recursos do Sistema Único de Saúde ¿ SUS ¿ Repasses Fundo a Fundo</t>
  </si>
  <si>
    <t>1.7.1.8.04.0.0 Transferências de Recursos do Fundo Nacional de Assistência Social ¿ FNAS</t>
  </si>
  <si>
    <t>1.7.1.8.05.0.0 Transferências de Recursos do Fundo Nacional do Desenvolvimento da Educação ¿ FNDE</t>
  </si>
  <si>
    <t>1.7.1.8.05.1.0 Transferências do Salário-Educação</t>
  </si>
  <si>
    <t>1.7.1.8.05.2.0 Transferências Diretas do FNDE referentes ao Programa Dinheiro Direto na Escola ¿ PDDE</t>
  </si>
  <si>
    <t>1.7.1.8.05.3.0 Transferências Diretas do FNDE referentes ao Programa Nacional de Alimentação Escolar ¿ PNAE</t>
  </si>
  <si>
    <t>1.7.1.8.05.4.0 Transferências Diretas do FNDE referentes ao Programa Nacional de Apoio ao Transporte do Escolar ¿ PNATE</t>
  </si>
  <si>
    <t>1.7.1.8.05.9.0 Outras Transferências Diretas do Fundo Nacional do Desenvolvimento da Educação ¿ FNDE</t>
  </si>
  <si>
    <t>1.7.1.8.06.0.0 Transferência Financeira do ICMS ¿ Desoneração ¿ L.C. Nº 87/96</t>
  </si>
  <si>
    <t>1.7.1.8.06.1.0 Transferência Financeira do ICMS ¿ Desoneração ¿ L.C. Nº 87/96</t>
  </si>
  <si>
    <t>1.7.1.8.10.0.0 Transferências de Convênios da União e de Suas Entidades</t>
  </si>
  <si>
    <t>1.7.1.8.10.9.0 Outras Transferências de Convênios da União</t>
  </si>
  <si>
    <t>1.7.2.0.00.0.0 - Transferências dos Estados e do Distrito Federal e de suas Entidades</t>
  </si>
  <si>
    <t>1.7.2.8.00.0.0 Transferências dos Estados - Específicas de Estados, DF e Municípios</t>
  </si>
  <si>
    <t>1.7.2.8.01.0.0 Participação na Receita dos Estados</t>
  </si>
  <si>
    <t>1.7.2.8.01.1.0 Cota-Parte do ICMS</t>
  </si>
  <si>
    <t>1.7.2.8.01.2.0 Cota-Parte do IPVA</t>
  </si>
  <si>
    <t>1.7.2.8.01.3.0 Cota-Parte do IPI - Municípios</t>
  </si>
  <si>
    <t>1.7.2.8.01.4.0 Cota-Parte da Contribuição de Intervenção no Domínio Econômico</t>
  </si>
  <si>
    <t>1.7.2.8.03.0.0 Transferência de Recursos do Estado para Programas de Saúde ¿ Repasse Fundo a Fundo</t>
  </si>
  <si>
    <t>1.7.2.8.99.0.0 Outras Transferências dos Estados</t>
  </si>
  <si>
    <t>1.7.4.0.00.0.0 - Transferências de Instituições Privadas</t>
  </si>
  <si>
    <t>1.7.4.8.00.0.0 Transferências de Instituições Privadas - Específicas de Estados, DF e Municípios</t>
  </si>
  <si>
    <t>1.7.5.0.00.0.0 - Transferências de Outras Instituições Públicas</t>
  </si>
  <si>
    <t>1.7.5.8.00.0.0 Transferências de Outras Instituições Públicas - Específicas de Estados, DF e Municípios</t>
  </si>
  <si>
    <t>1.7.5.8.01.0.0 Transferências de Recursos do Fundo de Manutenção e Desenvolvimento da Educação Básica e de Valorização dos Profissionais da Educação ¿ FUNDEB</t>
  </si>
  <si>
    <t>1.9.0.0.00.0.0 - Outras Receitas Correntes</t>
  </si>
  <si>
    <t>1.9.1.0.00.0.0 - Multas Administrativas, Contratuais e Judiciais</t>
  </si>
  <si>
    <t>1.9.2.0.00.0.0 - Indenizações, Restituições e Ressarcimentos</t>
  </si>
  <si>
    <t>1.9.2.1.00.0.0 - Indenizações</t>
  </si>
  <si>
    <t>1.9.2.2.00.0.0 - Restituições</t>
  </si>
  <si>
    <t>1.9.2.2.99.0.0 - Outras Restituições</t>
  </si>
  <si>
    <t>1.9.9.0.00.0.0 - Demais Receitas Correntes</t>
  </si>
  <si>
    <t>1.9.9.0.99.0.0 - Outras Receitas</t>
  </si>
  <si>
    <t>1.9.9.0.99.1.0 - Outras Receitas - Primárias</t>
  </si>
  <si>
    <t>2.0.0.0.00.0.0 - Receitas de Capital</t>
  </si>
  <si>
    <t>2.1.0.0.00.0.0 - Operações de Crédito</t>
  </si>
  <si>
    <t>2.1.1.0.00.0.0 - Operações de Crédito - Mercado Interno</t>
  </si>
  <si>
    <t>2.1.1.2.00.0.0 Operações de Crédito Contratuais - Mercado Interno</t>
  </si>
  <si>
    <t>2.2.0.0.00.0.0 - Alienação de Bens</t>
  </si>
  <si>
    <t>2.2.1.0.00.0.0 - Alienação de Bens Móveis</t>
  </si>
  <si>
    <t>2.2.1.3.00.0.0 Alienação de Bens Móveis e Semoventes</t>
  </si>
  <si>
    <t>2.4.0.0.00.0.0 - Transferências de Capital</t>
  </si>
  <si>
    <t>2.4.1.0.00.0.0 - Transferências da União e de suas Entidades</t>
  </si>
  <si>
    <t>2.4.1.8.00.0.0 Transferências da União - Específicas de Estados, DF e Municípios</t>
  </si>
  <si>
    <t>2.4.1.8.03.0.0 Transferências de Recursos do Sistema Único de Saúde ¿ SUS</t>
  </si>
  <si>
    <t>2.4.1.8.05.0.0 Transferências de Recursos Destinados a Programas de Educação</t>
  </si>
  <si>
    <t>2.4.1.8.10.0.0 Transferência de Convênios da União e de suas Entidades</t>
  </si>
  <si>
    <t>1.2.1.0.00.0.0 - Contribuições Sociais</t>
  </si>
  <si>
    <t>1.2.1.0.04.0.0 - Contribuição para o Regime Próprio de Previdência Social - RPPS</t>
  </si>
  <si>
    <t>1.2.1.0.04.1.0 - Contribuição Patronal de Servidor Ativo Civil para o RPPS</t>
  </si>
  <si>
    <t>1.2.1.0.04.2.0 - Contribuição do Servidor Ativo Civil para o RPPS</t>
  </si>
  <si>
    <t>1.2.1.0.04.3.0 - Contribuição do Servidor Inativo para o RPPS</t>
  </si>
  <si>
    <t>1.2.1.0.04.4.0 - Contribuição do Pensionista para o RPPS</t>
  </si>
  <si>
    <t>1.2.1.0.04.6.0 - Contribuição do Servidor Ativo ao RPPS Oriunda de Sentenças Judiciais</t>
  </si>
  <si>
    <t>1.3.2.1.00.4.0 - Remuneração dos Recursos do Regime Próprio de Previdência Social - RPPS</t>
  </si>
  <si>
    <t>1.3.2.2.00.0.0 - Dividendos</t>
  </si>
  <si>
    <t>1.6.0.0.00.0.0 - Receita de Serviços</t>
  </si>
  <si>
    <t>1.6.1.0.00.0.0 - Serviços Administrativos e Comerciais Gerais</t>
  </si>
  <si>
    <t>1.6.1.0.01.0.0 - Serviços Administrativos e Comerciais Gerais</t>
  </si>
  <si>
    <t>1.6.9.0.00.0.0 - Outros Serviços</t>
  </si>
  <si>
    <t>1.6.9.0.99.0.0 - Outros Serviços</t>
  </si>
  <si>
    <t>1.7.1.8.02.4.0 Cota-parte Royalties pelo Excedente da Produção do Petróleo ¿ Lei nº 9.478/97, artigo 49, I e II</t>
  </si>
  <si>
    <t>1.7.1.8.10.3.0 Transferências de Convênios da União Destinadas a Programas de Assistência Social</t>
  </si>
  <si>
    <t>1.7.1.8.99.0.0 Outras Transferências da União</t>
  </si>
  <si>
    <t>1.7.2.8.01.5.0 Outras Participações na Receita dos Estados</t>
  </si>
  <si>
    <t>1.7.2.8.10.0.0 Transferência de Convênios dos Estados e do Distrito Federal e de Suas Entidades</t>
  </si>
  <si>
    <t>1.7.2.8.10.2.0 Transferências de Convênio dos Estados Destinadas a Programas de Educação</t>
  </si>
  <si>
    <t>1.9.2.2.01.0.0 - Restituição de Convênios</t>
  </si>
  <si>
    <t>1.9.2.2.06.0.0 - Restituição de Despesas de Exercícios Anteriores</t>
  </si>
  <si>
    <t>1.9.9.0.03.0.0 - Compensações Financeiras entre o Regime Geral e os Regimes Próprios de Previdência dos Servidores</t>
  </si>
  <si>
    <t>2.1.1.8.00.0.0 Operações de Crédito - Mercado Interno - Estados/DF/Municípios</t>
  </si>
  <si>
    <t>2.1.1.9.00.0.0 Outras Operações de Crédito - Mercado Interno</t>
  </si>
  <si>
    <t>7.0.0.0.00.0.0 - Receitas Correntes - Intraorçamentárias</t>
  </si>
  <si>
    <t>7.2.0.0.00.0.0 - Contribuições - Intraorçamentárias</t>
  </si>
  <si>
    <t>7.2.1.0.00.0.0 - Contribuições Sociais - Intraorçamentárias</t>
  </si>
  <si>
    <t>7.2.1.0.04.0.0 - Contribuição para o Regime Próprio de Previdência Social - RPPS - Intraorçamentárias</t>
  </si>
  <si>
    <t>7.2.1.0.04.1.0 - Contribuição Patronal de Servidor Ativo Civil para o RPPS - Intraorçamentárias</t>
  </si>
  <si>
    <t>Exercício: 2019</t>
  </si>
  <si>
    <t>RECEITAS (EXCETO INTRA-ORÇAMENTÁRIAS) (I)</t>
  </si>
  <si>
    <t>1.1.2.1.04.0.0 - Taxa de Controle e Fiscalização Ambiental</t>
  </si>
  <si>
    <t>1.1.2.8.00.0.0 - Taxas - Específicas de Estados, DF e Municípios</t>
  </si>
  <si>
    <t>1.1.2.8.01.0.0 - Taxas de Inspeção, Controle e Fiscalização</t>
  </si>
  <si>
    <t>1.1.2.8.01.9.0 - Taxas de Inspeção, Controle e Fiscalização - Outras</t>
  </si>
  <si>
    <t>1.3.9.0.00.0.0 - Demais Receitas Patrimoniais</t>
  </si>
  <si>
    <t>1.7.1.8.02.1.0 Cota-parte da Compensação Financeira de Recursos Hídricos</t>
  </si>
  <si>
    <t>1.7.1.8.03.0.0 Transferência de Recursos do Sistema Único de Saúde ¿ 
 SUS ¿ Bloco Custeio das Ações e Serviços Públicos de Saúde</t>
  </si>
  <si>
    <t>1.7.1.8.03.1.0 - Transferência de Recursos do SUS ¿ Atenção Básica</t>
  </si>
  <si>
    <t>1.7.1.8.03.2.0 - Transferência de Recursos do SUS ¿ Atenção de Média e Alta Complexidade Ambulatorial e Hospitalar</t>
  </si>
  <si>
    <t>1.7.1.8.03.3.0 - Transferência de Recursos do SUS ¿ Vigilância em Saúde</t>
  </si>
  <si>
    <t>1.7.1.8.03.4.0 - Transferência de Recursos do SUS ¿ Assistência Farmacêutica</t>
  </si>
  <si>
    <t>1.7.1.8.03.5.0 - Transferência de Recursos do SUS ¿ Gestão do SUS</t>
  </si>
  <si>
    <t>1.7.1.8.09.0.0 - Transferências de Recursos de Complementação da União ao Fundo de Manutenção e Desenvolvimento da Educação Básica e de Valorização dos Profissionais da Educação ¿ FUNDEB</t>
  </si>
  <si>
    <t>1.7.1.8.12.0.0 - Transferências de Recursos do Fundo Nacional de Assistência Social ¿ FNAS</t>
  </si>
  <si>
    <t>1.7.4.0.00.1.0 - Transferências de Instituições Privadas</t>
  </si>
  <si>
    <t>1.9.1.0.01.0.0 - Multas Previstas em Legislação Específica</t>
  </si>
  <si>
    <t>1.9.1.0.07.0.0 - Multas Aplicadas pelos Tribunais de Contas</t>
  </si>
  <si>
    <t>1.9.2.1.01.0.0 - Indenizações por Danos Causados ao Patrimônio Público</t>
  </si>
  <si>
    <t>1.9.2.1.99.0.0 - Outras Indenizações</t>
  </si>
  <si>
    <t>1.9.2.2.02.0.0 - Restituição de Benefícios Não Desembolsados</t>
  </si>
  <si>
    <t>2.4.1.8.04.0.0 - Transferências de Recursos do Sistema Único de Saúde ¿ SUS - Bloco Investimentos na Rede de Serviços Públicos de Saúde</t>
  </si>
  <si>
    <t>2.4.1.8.04.1.0 - Transferências de Recursos do Sistema Único de Saúde ¿ SUS destinados à Atenção Básica</t>
  </si>
  <si>
    <t>2.4.1.8.04.2.0 - Transferências de Recursos do Sistema Único de Saúde ¿ SUS destinados à Atenção Especializada</t>
  </si>
  <si>
    <t>2.4.1.8.10.1.0 - Transferências de Convênio da União para o Sistema Único de Saúde ¿ SUS</t>
  </si>
  <si>
    <t>2.4.1.8.10.5.0 - Transferências de Convênios da União destinadas a Programas de Saneamento Básico</t>
  </si>
  <si>
    <t>2.4.1.8.10.7.0 - Transferências de Convênios da União destinadas a Programas de Infraestrutura em Transporte</t>
  </si>
  <si>
    <t>2.4.1.8.10.9.0 - Outras Transferências de Convênios da União</t>
  </si>
  <si>
    <t>TOTAL DAS RECEITAS (III) = (I + II)</t>
  </si>
  <si>
    <t>1.1.2.8.01.1.0 - Taxa de Fiscalização de Vigilância Sanitária</t>
  </si>
  <si>
    <t>1.2.1.8.00.0.0 Contribuições Sociais Específicas de Estados, DF e Municípios</t>
  </si>
  <si>
    <t>1.2.1.8.01.0.0 - Contribuição do Servidor Civil para o Plano de Seguridade Social - CPSSS - Específico de EST/DF/MUN</t>
  </si>
  <si>
    <t>1.2.1.8.01.1.0 - CPSSS do Servidor Civil Ativo</t>
  </si>
  <si>
    <t>1.2.1.8.01.2.0 - CPSSS do Servidor Civil Inativo</t>
  </si>
  <si>
    <t>1.2.1.8.01.3.0 - CPSSS do Servidor Civil - Pensionistas</t>
  </si>
  <si>
    <t>1.2.1.8.01.5.0 - CPSSS Oriunda de Sentenças Judiciais - Servidor Civil Inativo</t>
  </si>
  <si>
    <t>1.2.1.8.03.0.0 - CPSSS Patronal - Servidor Civil - Específico de EST/DF/MUN</t>
  </si>
  <si>
    <t>1.2.1.8.03.1.0 - CPSSS Patronal - Servidor Civil Ativo</t>
  </si>
  <si>
    <t>1.6.1.0.02.0.0 - Inscrição em Concursos e Processos Seletivos</t>
  </si>
  <si>
    <t>1.7.1.8.02.3.0 Cota-parte Royalties ¿ Compensação Financeira pela Produção de Petróleo ¿ Lei nº 7.990/89</t>
  </si>
  <si>
    <t>1.9.2.3.00.0.0 - Ressarcimentos</t>
  </si>
  <si>
    <t>1.9.2.3.99.0.0 - Outros Ressarcimentos</t>
  </si>
  <si>
    <t>1.9.9.0.99.2.0 - Outras Receitas - Financeiras</t>
  </si>
  <si>
    <t>2.1.2.0.00.0.0 - Operações de Crédito - Mercado Externo</t>
  </si>
  <si>
    <t>2.1.2.9.00.0.0 Outras Operações de Crédito - Mercado Externo</t>
  </si>
  <si>
    <t>RECEITAS (INTRA-ORÇAMENTÁRIAS) (II)</t>
  </si>
  <si>
    <t>7.0.0.0.00.0.0 - Receitas Correntes</t>
  </si>
  <si>
    <t>7.2.0.0.00.0.0 - Contribuições</t>
  </si>
  <si>
    <t>7.2.1.0.00.0.0 - Contribuições Sociais</t>
  </si>
  <si>
    <t>7.2.1.8.00.0.0 Contribuições Sociais Específicas de Estados, DF e 
 Municípios</t>
  </si>
  <si>
    <t>7.2.1.8.03.0.0 - CPSSS Patronal - Servidor Civil - Específico de EST/DF/MUN</t>
  </si>
  <si>
    <t>7.2.1.8.03.1.0 - CPSSS Patronal - Servidor Civil Ativo</t>
  </si>
  <si>
    <t>Exercício: 2020</t>
  </si>
  <si>
    <t>1.7.1.8.03.9.0 - Transferência de Recursos do SUS ¿ Outros Programas Financiados por Transferências Fundo a Fundo</t>
  </si>
  <si>
    <t>1.7.1.8.11.0.0 Outras Transferências de Recursos Fundo a Fundo</t>
  </si>
  <si>
    <t>1.7.2.8.07.0.0 Transferências de Estados destinadas à Assistência Social</t>
  </si>
  <si>
    <t>1.7.4.8.10.0.0 - Outras Transferência de Instituições Privadas para EST/DF/MUN - Não Especificadas Anteriormente</t>
  </si>
  <si>
    <t>2.1.1.1.00.0.0 Títulos de Responsabilidade do Tesouro Nacional - Mercado Interno</t>
  </si>
  <si>
    <t>2.1.1.1.00.3.0 - Títulos da Dívida Agrária - TDA</t>
  </si>
  <si>
    <t>2.1.1.8.01.0.0 - Operações de Crédito Internas de Estados/DF/Municípios</t>
  </si>
  <si>
    <t>2.1.1.8.01.3.0 - Operações de Crédito Internas para Programas de Saneamento</t>
  </si>
  <si>
    <t>2.2.2.0.00.0.0 - Alienação de Bens Imóveis</t>
  </si>
  <si>
    <t>2.4.1.8.04.6.0 - Outras Transferências de Recursos do Sistema Único de Saúde ¿ SUS, não detalhadas anteriormente</t>
  </si>
  <si>
    <t>2.4.2.0.00.0.0 - Transferências dos Estados e do Distrito Federal e de suas Entidades</t>
  </si>
  <si>
    <t>2.4.2.8.00.0.0 Transferências dos Estados, Distrito Federal, e de suas Entidades</t>
  </si>
  <si>
    <t>2.4.2.8.99.0.0 Outras Transferências dos Estados</t>
  </si>
  <si>
    <t>1.3.1.0.00.0.0 - Exploração do Patrimônio Imobiliário do Estado</t>
  </si>
  <si>
    <t>1.3.1.0.01.0.0 - Aluguéis, Arrendamentos, Foros, Laudêmios, Tarifas de Ocupação</t>
  </si>
  <si>
    <t>1.3.1.0.01.1.0 - Aluguéis e Arrendamentos</t>
  </si>
  <si>
    <t>1.7.7.0.00.0.0 - Transferências de Pessoas Físicas</t>
  </si>
  <si>
    <t>1.7.7.0.00.1.0 - Transferências de Pessoas Físicas</t>
  </si>
  <si>
    <t>Exercício: 2021</t>
  </si>
  <si>
    <t>1.1.1.8.00.0.0 - Impostos Específicos de Estados, DF e Municípios</t>
  </si>
  <si>
    <t>1.1.1.8.01.0.0 - Impostos sobre o Patrimônio para Estados/DF/Municípios</t>
  </si>
  <si>
    <t>1.1.1.8.01.1.0 - Imposto sobre a Propriedade Predial e Territorial Urbana</t>
  </si>
  <si>
    <t>1.1.1.8.01.4.0 - Imposto sobre Transmissão ¿Inter Vivos¿ de Bens Imóveis e de Direitos Reais sobre Imóveis</t>
  </si>
  <si>
    <t>1.1.1.8.02.0.0 - Impostos sobre a Produção, Circulação de Mercadorias e Serviços</t>
  </si>
  <si>
    <t>1.1.1.8.02.3.0 - Imposto sobre Serviços de Qualquer Natureza</t>
  </si>
  <si>
    <t>1.3.2.1.00.6.0 - Juros sobre o Capital Próprio</t>
  </si>
  <si>
    <t>1.3.6.0.01.0.0 - Cessão do Direito de Operacionalização de Pagamentos</t>
  </si>
  <si>
    <t>1.3.6.0.01.1.0 - Cessão do Direito de Operacionalização de Pagamentos</t>
  </si>
  <si>
    <t>1.7.1.8.00.0.0 - Transferências da União - Específicas de Estados, DF e Municípios</t>
  </si>
  <si>
    <t>1.7.1.8.01.0.0 - Participação na Receita da União</t>
  </si>
  <si>
    <t>1.7.1.8.01.2.0 - Cota-Parte do Fundo de Participação dos Municípios - Cota Mensal</t>
  </si>
  <si>
    <t>1.7.1.8.01.3.0 - Cota-Parte do Fundo de Participação do Municípios ¿ 1% Cota entregue no mês de dezembro</t>
  </si>
  <si>
    <t>1.7.1.8.01.4.0 - Cota-Parte do Fundo de Participação dos Municípios - 1% Cota entregue no mês de julho</t>
  </si>
  <si>
    <t>1.7.1.8.01.5.0 - Cota-Parte do Imposto Sobre a Propriedade Territorial Rural</t>
  </si>
  <si>
    <t>1.7.1.8.02.0.0 - Transferência da Compensação Financeira pela Exploração de Recursos Naturais</t>
  </si>
  <si>
    <t>1.7.1.8.02.2.0 - Cota-parte da Compensação Financeira de Recursos Minerais - CFEM</t>
  </si>
  <si>
    <t>1.7.1.8.02.6.0 - Cota-Parte do Fundo Especial do Petróleo ¿ FEP</t>
  </si>
  <si>
    <t>1.7.1.8.03.0.0 - Transferência de Recursos do Sistema Único de Saúde ¿ SUS ¿ Repasses Fundo a Fundo - Bloco de Manutenção das Ações e Serviços Públicos de Saúde</t>
  </si>
  <si>
    <t>1.7.1.8.03.1.0 - Transferência de Recursos do SUS ¿ Atenção Primária</t>
  </si>
  <si>
    <t>1.7.1.8.03.2.0 - Transferência de Recursos do SUS ¿ Atenção Especializada</t>
  </si>
  <si>
    <t>1.7.1.8.05.0.0 - Transferências de Recursos do Fundo Nacional do Desenvolvimento da Educação ¿ FNDE</t>
  </si>
  <si>
    <t>1.7.1.8.05.1.0 - Transferências do Salário-Educação</t>
  </si>
  <si>
    <t>1.7.1.8.05.2.0 - Transferências Diretas do FNDE referentes ao Programa Dinheiro Direto na Escola ¿ PDDE</t>
  </si>
  <si>
    <t>1.7.1.8.05.3.0 - Transferências Diretas do FNDE referentes ao Programa Nacional de Alimentação Escolar ¿ PNAE</t>
  </si>
  <si>
    <t>1.7.1.8.05.4.0 - Transferências Diretas do FNDE referentes ao Programa Nacional de Apoio ao Transporte do Escolar ¿ PNATE</t>
  </si>
  <si>
    <t>1.7.1.8.10.0.0 - Transferências de Convênios da União e de Suas Entidades</t>
  </si>
  <si>
    <t>1.7.1.8.10.9.0 - Outras Transferências de Convênios da União</t>
  </si>
  <si>
    <t>1.7.1.8.99.0.0 - Outras Transferências da União</t>
  </si>
  <si>
    <t>1.7.2.8.00.0.0 - Transferências dos Estados - Específicas de Estados, DF e Municípios</t>
  </si>
  <si>
    <t>1.7.2.8.01.0.0 - Participação na Receita dos Estados</t>
  </si>
  <si>
    <t>1.7.2.8.01.1.0 - Cota-Parte do ICMS</t>
  </si>
  <si>
    <t>1.7.2.8.01.2.0 - Cota-Parte do IPVA</t>
  </si>
  <si>
    <t>1.7.2.8.01.3.0 - Cota-Parte do IPI - Municípios</t>
  </si>
  <si>
    <t>1.7.2.8.01.4.0 - Cota-Parte da Contribuição de Intervenção no Domínio Econômico</t>
  </si>
  <si>
    <t>1.7.2.8.03.0.0 - Transferência de Recursos do Estado para Programas de Saúde ¿ Repasse Fundo a Fundo</t>
  </si>
  <si>
    <t>1.7.2.8.07.0.0 - Transferências de Estados destinadas à Assistência Social</t>
  </si>
  <si>
    <t>1.7.2.8.99.0.0 - Outras Transferências dos Estados</t>
  </si>
  <si>
    <t>1.7.4.1.01.0.0 - Outras Transferências de Instituições Privadas</t>
  </si>
  <si>
    <t>1.7.5.8.00.0.0 - Transferências de Outras Instituições Públicas - Específicas de Estados, DF e Municípios</t>
  </si>
  <si>
    <t>1.7.5.8.01.0.0 - Transferências de Recursos do Fundo de Manutenção e Desenvolvimento da Educação Básica e de Valorização dos Profissionais da Educação ¿ FUNDEB</t>
  </si>
  <si>
    <t>2.1.1.8.00.0.0 - Operações de Crédito - Mercado Interno - Estados/DF/Municípios</t>
  </si>
  <si>
    <t>2.4.1.8.00.0.0 - Transferências da União - Específicas de Estados, DF e Municípios</t>
  </si>
  <si>
    <t>2.4.1.8.04.0.0 - Transferências de Recursos do Sistema Único de Saúde ¿ SUS - Fundo a Fundo - Bloco de Estruturação da Rede de Serviços Públicos de Saúde</t>
  </si>
  <si>
    <t>2.4.1.8.10.0.0 - Transferência de Convênios da União e de suas Entidades</t>
  </si>
  <si>
    <t>1.1.2.8.02.0.0 - Taxas pela Prestação de Serviços</t>
  </si>
  <si>
    <t>1.1.2.8.02.9.0 - Taxas pela Prestação de Serviços - Outras</t>
  </si>
  <si>
    <t>1.2.1.8.00.0.0 - Contribuições Sociais Específicas de Estados, DF e Municípios</t>
  </si>
  <si>
    <t>1.7.1.8.02.3.0 - Cota-parte Royalties ¿ Compensação Financeira pela Produção de Petróleo ¿ Lei nº 7.990/89</t>
  </si>
  <si>
    <t>1.7.1.8.02.4.0 - Cota-parte Royalties pelo Excedente da Produção do Petróleo ¿ Lei nº 9.478/97, artigo 49, I e II</t>
  </si>
  <si>
    <t>1.7.2.8.01.5.0 - Outras Participações na Receita dos Estados</t>
  </si>
  <si>
    <t>1.7.2.8.10.0.0 - Transferência de Convênios dos Estados e do Distrito Federal e de Suas Entidades</t>
  </si>
  <si>
    <t>1.7.2.8.10.2.0 - Transferências de Convênio dos Estados Destinadas a Programas de Educação</t>
  </si>
  <si>
    <t>1.7.8.0.00.0.0 - Transferências Provenientes de Depósitos Não Identificados</t>
  </si>
  <si>
    <t>2.1.1.9.00.0.0 - Outras Operações de Crédito - Mercado Interno</t>
  </si>
  <si>
    <t>2.1.2.9.00.0.0 - Outras Operações de Crédito - Mercado Externo</t>
  </si>
  <si>
    <t>2.2.1.3.00.0.0 - Alienação de Bens Móveis e Semoventes</t>
  </si>
  <si>
    <t>7.2.1.8.00.0.0 - Contribuições Sociais Específicas de Estados, DF e   Municípios</t>
  </si>
  <si>
    <t>Exercício: 2022</t>
  </si>
  <si>
    <t>1.1.1.2.00.0.0 - Impostos sobre o Patrimônio</t>
  </si>
  <si>
    <t>1.1.1.2.50.0.0 - Imposto sobre a Propriedade Predial e Territorial Urbana</t>
  </si>
  <si>
    <t>1.1.1.2.53.0.0 - Impostos sobre Transmissão Inter Vivos" de Bens Imóveis e de Direitos Reais sobre Imóveis"</t>
  </si>
  <si>
    <t>1.1.1.4.00.0.0 - Impostos sobre a Produção e Circulação de Mercadorias e Serviços</t>
  </si>
  <si>
    <t>1.1.1.4.51.0.0 - Impostos sobre Serviços</t>
  </si>
  <si>
    <t>1.1.1.4.51.1.0 - Imposto sobre Serviços de Qualquer Natureza - ISSQN</t>
  </si>
  <si>
    <t>1.3.2.1.01.0.0 - Remuneração de Depósitos Bancários</t>
  </si>
  <si>
    <t>1.3.6.1.00.0.0 - Cessão de Direitos</t>
  </si>
  <si>
    <t>1.3.6.1.01.0.0 - Cessão do Direito de Operacionalização de Pagamentos</t>
  </si>
  <si>
    <t>1.3.6.1.01.1.0 - Cessão do Direito de Operacionalização de Pagamentos - Poderes Executivo e Legislativo</t>
  </si>
  <si>
    <t>1.6.1.1.00.0.0 - Serviços Administrativos e Comerciais Gerais</t>
  </si>
  <si>
    <t>1.6.1.1.02.0.0 - Inscrição em Concursos e Processos Seletivos</t>
  </si>
  <si>
    <t>1.7.1.1.00.0.0 - Transferências Decorrentes de Participação na Receita da União</t>
  </si>
  <si>
    <t>1.7.1.1.51.0.0 -Cota-Parte do Fundo de Participação dos Municípios - FPM</t>
  </si>
  <si>
    <t>1.7.1.1.51.1.0 - Cota-Parte do Fundo de Participação dos Municípios - Cota Mensal</t>
  </si>
  <si>
    <t>1.7.1.1.51.2.0 - Cota-Parte do Fundo de Participação do Municípios ¿ 1% Cota entregue no mês de dezembro</t>
  </si>
  <si>
    <t>1.7.1.1.51.3.0 - Cota-Parte do Fundo de Participação dos Municípios - 1% Cota entregue no mês de julho</t>
  </si>
  <si>
    <t>1.7.1.1.52.0.0 - Cota-Parte do Imposto Sobre a Propriedade Territorial Rural</t>
  </si>
  <si>
    <t>1.7.1.2.00.0.0 -Transferências das Compensações Financeiras pela Exploração de Recursos Naturais</t>
  </si>
  <si>
    <t>1.7.1.2.51.0.0 -Cota-parte da Compensação Financeira pela Exploração de Recursos Minerais - CFEM</t>
  </si>
  <si>
    <t>1.7.1.2.52.0.0 - Cota-parte da Compensação Financeira pela Produção de Petróleo</t>
  </si>
  <si>
    <t>1.7.1.2.52.4.0 - Cota-Parte do Fundo Especial do Petróleo ¿ FEP</t>
  </si>
  <si>
    <t>1.7.1.3.00.0.0 -Transferências de Recursos do Sistema Único de Saúde ¿ SUS </t>
  </si>
  <si>
    <t>1.7.1.3.50.0.0 - Transferências de Recursos do Sistema Único de Saúde ¿ SUS ¿ Repasses Fundo a Fundo - Bloco de Manutenção das Ações e Serviços Públicos de Saúde</t>
  </si>
  <si>
    <t>1.7.1.3.50.1.0 - Transferências de Recursos do Bloco de Manutenção das Ações e Serviços Públicos de Saúde ¿ Atenção Primária</t>
  </si>
  <si>
    <t>1.7.1.3.50.2.0 - Transferências de Recursos do Bloco de Manutenção das Ações e Serviços Públicos de Saúde ¿ Atenção Especializada</t>
  </si>
  <si>
    <t>1.7.1.3.50.3.0 - Transferências de Recursos do Bloco de Manutenção das Ações e Serviços Públicos de Saúde ¿ Vigilância em Saúde</t>
  </si>
  <si>
    <t>1.7.1.3.50.4.0 -Transferências de Recursos do Bloco de Manutenção das Ações e Serviços Públicos de Saúde ¿ Assistência Farmacêutica</t>
  </si>
  <si>
    <t>1.7.1.3.50.5.0 - Transferências de Recursos do Bloco de Manutenção das Ações e Serviços Públicos de Saúde ¿ Gestão do SUS</t>
  </si>
  <si>
    <t>1.7.1.3.50.9.0 - Transferências de Recursos do Bloco de Manutenção das Ações e Serviços Públicos de Saúde ¿ Outros Programas</t>
  </si>
  <si>
    <t>1.7.1.4.00.0.0 -Transferências de Recursos do Fundo Nacional do Desenvolvimento da Educação ¿ FNDE¿ </t>
  </si>
  <si>
    <t>1.7.1.4.50.0.0 - Transferências do Salário-Educação</t>
  </si>
  <si>
    <t>1.7.1.4.51.0.0 - Transferências Diretas do FNDE referentes ao Programa Dinheiro Direto na Escola ¿ PDDE</t>
  </si>
  <si>
    <t>1.7.1.4.52.0.0 - Transferências referentes ao Programa Nacional de Alimentação Escolar ¿ PNAE</t>
  </si>
  <si>
    <t>1.7.1.4.53.0.0 - Transferências referentes ao Programa Nacional de Apoio ao Transporte do Escolar ¿ PNATE</t>
  </si>
  <si>
    <t>1.7.1.5.00.0.0 - Transferências de Recursos de Complementação da União ao Fundo de Manutenção e Desenvolvimento da Educação Básica e de Valorização dos Profissionais da Educação ¿ FUNDEB </t>
  </si>
  <si>
    <t>1.7.1.6.00.0.0 - Transferências de Recursos do Fundo Nacional de Assistência Social ¿ FNAS</t>
  </si>
  <si>
    <t>1.7.1.7.00.0.0 - Transferências de Convênios da União e de Suas Entidades</t>
  </si>
  <si>
    <t>1.7.1.7.99.0.0 - Outras Transferências de Convênios da União e de Suas Entidades</t>
  </si>
  <si>
    <t>1.7.1.9.00.0.0 - Outras Transferências de Recursos da União e de suas Entidades</t>
  </si>
  <si>
    <t>1.7.1.9.58.0.0 - Transferência Obrigatória Decorrente da Lei Complementar nº 176/2020</t>
  </si>
  <si>
    <t>1.7.1.9.99.0.0 - Outras Transferências de Recursos da União e de suas Entidades</t>
  </si>
  <si>
    <t>1.7.2.1.00.0.0 - Participação na Receita dos Estados e Distrito Federal</t>
  </si>
  <si>
    <t>1.7.2.1.50.0.0 - Cota-Parte do ICMS</t>
  </si>
  <si>
    <t>1.7.2.1.51.0.0 - Cota-Parte do IPVA</t>
  </si>
  <si>
    <t>1.7.2.1.52.0.0 - Cota-Parte do IPI - Municípios</t>
  </si>
  <si>
    <t>1.7.2.1.53.0.0 - Cota-Parte da Contribuição de Intervenção no Domínio Econômico</t>
  </si>
  <si>
    <t>1.7.2.2.00.0.0 - Transferências das Compensações Financeiras pela Exploração de Recursos Naturais</t>
  </si>
  <si>
    <t>1.7.2.2.53.0.0 - Outras Transferências Decorrentes de Compensações Financeiras</t>
  </si>
  <si>
    <t>1.7.2.3.00.0.0 - Transferências de Recursos do Sistema Único de Saúde ¿ SUS</t>
  </si>
  <si>
    <t>1.7.2.9.00.0.0 - Outras Transferências dos Estados e Distrito Federal</t>
  </si>
  <si>
    <t>1.7.2.9.51.0.0 - Transferências de Estados destinadas à Assistência Social</t>
  </si>
  <si>
    <t>1.7.2.9.99.0.0 - Outras Transferências dos Estados e DF</t>
  </si>
  <si>
    <t>1.7.4.1.00.0.0 - Transferências de Instituições Privadas</t>
  </si>
  <si>
    <t>1.7.4.1.01.0.0 - Transferências de Instituições Privadas para Órgãos e Entidades da União</t>
  </si>
  <si>
    <t>1.7.5.1.00.0.0 - Transferências de Recursos do Fundo de Manutenção e Desenvolvimento da Educação Básica e de Valorização dos Profissionais da Educação - FUNDEB</t>
  </si>
  <si>
    <t>1.9.1.1.00.0.0 - Multas Administrativas, Contratuais e Judiciais</t>
  </si>
  <si>
    <t>1.9.1.1.01.0.0 - Multas Previstas em Legislação Específica</t>
  </si>
  <si>
    <t>1.9.1.1.07.0.0 - Multas Aplicadas pelos Tribunais de Contas</t>
  </si>
  <si>
    <t>2.1.1.2.00.0.0 - Operações de Crédito Contratuais - Mercado Interno</t>
  </si>
  <si>
    <t>2.1.1.2.51.0.0 - Operações de Crédito Internas para Programas de Saúde</t>
  </si>
  <si>
    <t>2.1.1.2.52.0.0 - Operações de Crédito Internas para Programas de Saneamento</t>
  </si>
  <si>
    <t>2.4.1.4.00.0.0 - Transferências de Convênios da União e de suas Entidades </t>
  </si>
  <si>
    <t>2.4.1.4.50.0.0 - Transferências de Convênios da União para o Sistema Único de Saúde ¿ SUS</t>
  </si>
  <si>
    <t>2.4.1.4.52.0.0 - Transferências de Convênios da União destinadas a Programas de Saneamento Básico</t>
  </si>
  <si>
    <t>2.4.1.4.99.0.0 - Outras Transferências de Convênios da União e de Suas Entidades</t>
  </si>
  <si>
    <t>1.1.2.1.50.0.0 - Taxa de Fiscalização de Vigilância Sanitária</t>
  </si>
  <si>
    <t>1.2.1.5.00.0.0 - Contribuições para Regimes Próprios de Previdência e Sistema de Proteção Social</t>
  </si>
  <si>
    <t>1.2.1.5.01.0.0 - Contribuição do Servidor Civil</t>
  </si>
  <si>
    <t>1.2.1.5.01.1.0 - Contribuição do Servidor Civil Ativo</t>
  </si>
  <si>
    <t>1.2.1.5.01.2.0 - Contribuição do Servidor Civil Inativo</t>
  </si>
  <si>
    <t>1.2.1.5.01.3.0 -Contribuição do Servidor Civil - Pensionistas</t>
  </si>
  <si>
    <t>1.2.1.5.01.4.0 - Contribuição Oriunda de Sentenças Judiciais - Servidor Civil Ativo</t>
  </si>
  <si>
    <t>1.2.1.5.02.0.0 - Contribuição Patronal - Servidor Civil</t>
  </si>
  <si>
    <t>1.2.1.5.02.1.0 - Contribuição Patronal - Servidor Civil Ativo</t>
  </si>
  <si>
    <t>1.3.1.1.00.0.0 - Exploração do Patrimônio Imobiliário do Estado</t>
  </si>
  <si>
    <t>1.3.1.1.01.0.0 - Aluguéis, Arrendamentos, Foros, Laudêmios, Tarifas de Ocupação</t>
  </si>
  <si>
    <t>1.3.1.1.01.1.0 - Aluguéis e Arrendamentos</t>
  </si>
  <si>
    <t>1.3.2.1.04.0.0 - Remuneração dos Recursos do Regime Próprio de Previdência Social - RPPS</t>
  </si>
  <si>
    <t>1.6.1.1.01.0.0 - Serviços Administrativos e Comerciais Gerais</t>
  </si>
  <si>
    <t>1.7.1.2.52.1.0 - Cota-parte da Compensação Financeira pela Produção de Petróleo ¿ Lei nº 7.990/89</t>
  </si>
  <si>
    <t>1.7.1.2.52.2.0 - Cota-parte pelo Excedente da Produção do Petróleo ¿ Lei nº 9.478/97, artigo 49, I e II</t>
  </si>
  <si>
    <t>1.7.1.2.99.0.0 - Outras Transferências decorrentes de Compensação Financeira pela Exploração de Recursos Naturais </t>
  </si>
  <si>
    <t>1.7.2.1.98.0.0 -Transferências Decorrentes de Participação em Outras Receitas de Impostos dos Estados e do Distrito Federal</t>
  </si>
  <si>
    <t>1.7.4.1.99.0.0 - Outras Transferências de Instituições Privadas</t>
  </si>
  <si>
    <t>1.7.9.0.00.0.0 - Demais Transferências Correntes</t>
  </si>
  <si>
    <t>1.7.9.2.00.0.0 - Transferências Provenientes de Depósitos Não Identificados</t>
  </si>
  <si>
    <t>1.9.1.1.13.0.0 - Multas Previstas na Legislação Anticorrupção.</t>
  </si>
  <si>
    <t>1.9.1.1.13.2.0 - Multas da Legislação Anticorrupção Oriundas de Acordos de Leniência</t>
  </si>
  <si>
    <t>1.9.2.2.12.0.0 - Restituição de Depósitos de Setenças Judiciais não Sacados</t>
  </si>
  <si>
    <t>1.9.9.9.00.0.0 - Outras Receitas Correntes</t>
  </si>
  <si>
    <t>1.9.9.9.03.0.0 - Compensações Financeiras entre o Regime Geral e os Regimes Próprios de Previdência e Sistema de Proteção Social</t>
  </si>
  <si>
    <t>1.9.9.9.99.0.0 - Outras Receitas</t>
  </si>
  <si>
    <t>1.9.9.9.99.2.0 - Outras Receitas Não Arrecadadas e Não Projetadas pela RFB - Primárias</t>
  </si>
  <si>
    <t>2.1.1.2.01.0.0 - Operações de Crédito Contratuais - Mercado Interno</t>
  </si>
  <si>
    <t>2.1.2.2.00.0.0 - Operações de Crédito Contratuais - Mercado Externo</t>
  </si>
  <si>
    <t>2.1.2.2.01.0.0 - Operações de Crédito Contratuais - Mercado Externo</t>
  </si>
  <si>
    <t>2.1.2.2.50.0.0 - Operações de Crédito Externas para Programas de Educação</t>
  </si>
  <si>
    <t>2.4.1.1.00.0.0 - Transferências de Recursos do Sistema Único de Saúde - SUS</t>
  </si>
  <si>
    <t>2.4.1.1.51.0.0 - Transferências de Recursos do Sistema Único de Saúde ¿ SUS - Fundo a Fundo - Bloco de Estruturação da Rede de Serviços Públicos de Saúde</t>
  </si>
  <si>
    <t>2.4.1.1.51.1.0 - Transferências de Recursos do Bloco de Estruturação da Rede de Serviços Públicos de Saúde - Atenção Primária</t>
  </si>
  <si>
    <t>7.2.1.5.00.0.0 - Contribuições para Regimes Próprios de Previdência e Sistema de Proteção Social</t>
  </si>
  <si>
    <t>7.2.1.5.02.0.0 - Contribuição Patronal - Servidor Civil</t>
  </si>
  <si>
    <t>7.2.1.5.02.1.0 - Contribuição Patronal - Servidor Civil Ativo</t>
  </si>
  <si>
    <t>7.2.1.5.51.0.0 - Contribuição Patronal - Parcelamentos</t>
  </si>
  <si>
    <t>7.2.1.5.51.1.0 - Contribuição Patronal - Servidor Civil Ativo - Parcelamentos</t>
  </si>
  <si>
    <t>Exercício: 2023</t>
  </si>
  <si>
    <t>1.1.2.2.01.0.0 - Taxas pela Prestação de Serviços em Geral</t>
  </si>
  <si>
    <t>1.7.1.1.51.2.0 - Cota-Parte do Fundo de Participação dos Municípios - Cotas Extraordinárias</t>
  </si>
  <si>
    <t>1.7.1.4.55.0.0 - Transferências referentes ao Programa Brasil Alfabetizado - PBA</t>
  </si>
  <si>
    <t>1.7.1.4.99.0.0 - Outras Transferências Diretas do Fundo Nacional do Desenvolvimento da Educação - FNDE</t>
  </si>
  <si>
    <t>1.7.1.7.52.0.0 - Transferências de Convênios da União Destinadas a Programas de Assistência Social</t>
  </si>
  <si>
    <t>1.7.2.9.52.0.0 - Transferências de Recursos Destinados a Programas de Educação</t>
  </si>
  <si>
    <t>1.7.9.9.00.0.0 - Outras Transferências Correntes</t>
  </si>
  <si>
    <t>1.9.9.9.18.0.0 - Demais Créditos Decorrentes da Revisão de Contratos de Concessão</t>
  </si>
  <si>
    <t>1.9.9.9.99.1.0 - Outras Receitas Administradas pela RFB</t>
  </si>
  <si>
    <t>2.4.1.2.00.0.0 - Transferências de Recursos do Fundo Nacional do Desenvolvimento da Educação ¿ FNDE </t>
  </si>
  <si>
    <t>2.4.1.2.50.0.0 - Transferências de Recursos Destinados a Programas de Educação</t>
  </si>
  <si>
    <t>2.4.1.2.50.1.0 - Transferências para o Programa de Apoio ao Transporte Escolar para Educação Básica - CAMINHO DA ESCOLA</t>
  </si>
  <si>
    <t>1.2.1.9.00.0.0 - Outras Contribuições Sociais</t>
  </si>
  <si>
    <t>1.2.1.9.99.0.0 - Demais Contribuições Sociais</t>
  </si>
  <si>
    <t>1.2.1.9.99.1.0 - Demais Contribuições Sociais Não Arrecadadas e Não Projetadas pela RFB</t>
  </si>
  <si>
    <t>1.3.3.0.00.0.0 - Delegação de Serviços Públicos Mediante Concessão, Permissão, Autorização ou Licença</t>
  </si>
  <si>
    <t>1.3.3.9.00.0.0 - Demais Delegações de Serviços Públicos</t>
  </si>
  <si>
    <t>1.6.1.1.01.0.0 - Serviços Administrativos e Comerciais Gerais Prestados por Entidades e Órgãos Públicos em Geral</t>
  </si>
  <si>
    <t>1.7.1.9.57.0.0 - Transferência Especial da União</t>
  </si>
  <si>
    <t>1.7.2.9.53.0.0 - Cota-Parte da Transferência da Compensação Financeira das Perdas com Arrecadação de ICMS - LC nº 194/2022</t>
  </si>
  <si>
    <t>1.7.9.1.00.0.0 - Transferências de Pessoas Físicas</t>
  </si>
  <si>
    <t>1.7.9.1.99.0.0 - Outras Transferências de Pessoas Físicas</t>
  </si>
  <si>
    <t>1.9.1.1.14.0.0 - Multas Previstas no Código de Trânsito Brasileiro - CTB</t>
  </si>
  <si>
    <t>1.9.2.2.06.3.0 - Restituição de Despesas Primárias de Exercícios Anteriores</t>
  </si>
  <si>
    <t>1.9.3.0.00.0.0 - Bens, Direitos e Valores Incorporados ao Patrimônio Público</t>
  </si>
  <si>
    <t>1.9.3.1.00.0.0 - Bens, Direitos e Valores Incorporados ao Patrimônio Público</t>
  </si>
  <si>
    <t>1.9.3.1.99.0.0 - Bens, Direitos e Valores Perdidos em Favor do Poder Público por Demais Infrações ou Crimes Previstos em Legislação Especial</t>
  </si>
  <si>
    <t>1.9.9.9.03.0.0 - Compensações Financeiras entre os Regimes de Previdência</t>
  </si>
  <si>
    <t>1.9.9.9.12.0.0 - Encargos Legais pela Inscrição em Dívida Ativa e Receitas de Ônus de Sucumbência</t>
  </si>
  <si>
    <t>1.9.9.9.12.2.0 - Ônus de Sucumbência</t>
  </si>
  <si>
    <t>2.4.1.1.51.2.0 - Transferências de Recursos do Bloco de Estruturação da Rede de Serviços Públicos de Saúde - Atenção Especializada</t>
  </si>
  <si>
    <t>2.4.1.2.50.9.0 - Outras transferências destinadas a Programas de Educação</t>
  </si>
  <si>
    <t>2.4.1.9.00.0.0 - Outras Transferências de Recursos da União e de suas Entidades</t>
  </si>
  <si>
    <t>2.4.1.9.51.0.0 - Transferência Especial da União</t>
  </si>
  <si>
    <t>2.9.0.0.00.0.0 - Outras Receitas de Capital</t>
  </si>
  <si>
    <t>2.9.9.0.00.0.0 - Demais Receitas de Capital</t>
  </si>
  <si>
    <t>2.9.9.9.00.0.0 - Outras Receitas de Capital</t>
  </si>
  <si>
    <t>2.9.9.9.99.0.0 - Outras Receitas de Capital</t>
  </si>
  <si>
    <t>7.9.0.0.00.0.0 - Outras Receitas Correntes</t>
  </si>
  <si>
    <t>7.9.2.0.00.0.0 - Indenizações, Restituições e Ressarcimentos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</si>
</sst>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abSelected="1" workbookViewId="0">
      <selection sqref="A1:XFD1048576"/>
    </sheetView>
  </sheetViews>
  <sheetFormatPr defaultRowHeight="15" x14ac:dyDescent="0.25"/>
  <cols>
    <col min="1" max="1" width="35.42578125" customWidth="1"/>
    <col min="2" max="2" width="161.28515625" bestFit="1" customWidth="1"/>
    <col min="3" max="3" width="19.5703125" bestFit="1" customWidth="1"/>
    <col min="5" max="5" width="17.42578125" bestFit="1" customWidth="1"/>
    <col min="6" max="6" width="19.5703125" bestFit="1" customWidth="1"/>
    <col min="7" max="7" width="16.85546875" bestFit="1" customWidth="1"/>
    <col min="10" max="10" width="7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</row>
    <row r="4" spans="1:10" x14ac:dyDescent="0.25">
      <c r="A4" t="s">
        <v>3</v>
      </c>
      <c r="B4" t="s">
        <v>4</v>
      </c>
      <c r="C4" t="s">
        <v>5</v>
      </c>
    </row>
    <row r="5" spans="1:10" x14ac:dyDescent="0.25">
      <c r="A5" t="s">
        <v>6</v>
      </c>
      <c r="B5" t="s">
        <v>7</v>
      </c>
      <c r="C5" s="1">
        <v>317313568.20999998</v>
      </c>
      <c r="E5" t="s">
        <v>7</v>
      </c>
      <c r="F5" s="1">
        <f>C5</f>
        <v>317313568.20999998</v>
      </c>
    </row>
    <row r="6" spans="1:10" x14ac:dyDescent="0.25">
      <c r="A6" t="s">
        <v>6</v>
      </c>
      <c r="B6" t="s">
        <v>8</v>
      </c>
      <c r="C6" s="1">
        <v>314901064.82999998</v>
      </c>
      <c r="E6" t="s">
        <v>9</v>
      </c>
      <c r="F6" s="1">
        <v>314901064.82999998</v>
      </c>
    </row>
    <row r="7" spans="1:10" x14ac:dyDescent="0.25">
      <c r="A7" t="s">
        <v>6</v>
      </c>
      <c r="B7" t="s">
        <v>10</v>
      </c>
      <c r="C7" s="1">
        <v>32445264.859999999</v>
      </c>
      <c r="E7" t="s">
        <v>11</v>
      </c>
      <c r="F7" s="1">
        <v>2584786.6</v>
      </c>
    </row>
    <row r="8" spans="1:10" x14ac:dyDescent="0.25">
      <c r="A8" t="s">
        <v>6</v>
      </c>
      <c r="B8" t="s">
        <v>12</v>
      </c>
      <c r="C8" s="1">
        <v>29137239.460000001</v>
      </c>
      <c r="E8" t="s">
        <v>13</v>
      </c>
      <c r="F8" s="1">
        <v>5223203.24</v>
      </c>
    </row>
    <row r="9" spans="1:10" x14ac:dyDescent="0.25">
      <c r="A9" t="s">
        <v>6</v>
      </c>
      <c r="B9" t="s">
        <v>14</v>
      </c>
      <c r="C9" s="1">
        <v>12678075.890000001</v>
      </c>
      <c r="E9" t="s">
        <v>15</v>
      </c>
      <c r="F9" s="1">
        <v>16459163.57</v>
      </c>
    </row>
    <row r="10" spans="1:10" x14ac:dyDescent="0.25">
      <c r="A10" t="s">
        <v>6</v>
      </c>
      <c r="B10" t="s">
        <v>16</v>
      </c>
      <c r="C10" s="1">
        <v>2584786.6</v>
      </c>
      <c r="E10" t="s">
        <v>17</v>
      </c>
      <c r="F10" s="1">
        <v>268207380.96000001</v>
      </c>
    </row>
    <row r="11" spans="1:10" x14ac:dyDescent="0.25">
      <c r="A11" t="s">
        <v>6</v>
      </c>
      <c r="B11" t="s">
        <v>18</v>
      </c>
      <c r="C11" s="1">
        <v>4870086.05</v>
      </c>
      <c r="E11" t="s">
        <v>19</v>
      </c>
      <c r="F11" s="1">
        <v>73861881.659999996</v>
      </c>
    </row>
    <row r="12" spans="1:10" x14ac:dyDescent="0.25">
      <c r="A12" t="s">
        <v>6</v>
      </c>
      <c r="B12" t="s">
        <v>20</v>
      </c>
      <c r="C12" s="1">
        <v>4611328.13</v>
      </c>
      <c r="E12" t="s">
        <v>21</v>
      </c>
      <c r="F12" s="1">
        <v>55526478.829999998</v>
      </c>
    </row>
    <row r="13" spans="1:10" x14ac:dyDescent="0.25">
      <c r="A13" t="s">
        <v>6</v>
      </c>
      <c r="B13" t="s">
        <v>22</v>
      </c>
      <c r="C13" s="1">
        <v>258757.92</v>
      </c>
      <c r="E13" t="s">
        <v>23</v>
      </c>
      <c r="F13" s="1">
        <f>SUM(J13:J14)</f>
        <v>55178686.819999993</v>
      </c>
      <c r="J13" s="1">
        <v>40043429.229999997</v>
      </c>
    </row>
    <row r="14" spans="1:10" x14ac:dyDescent="0.25">
      <c r="A14" t="s">
        <v>6</v>
      </c>
      <c r="B14" t="s">
        <v>24</v>
      </c>
      <c r="C14" s="1">
        <v>5223203.24</v>
      </c>
      <c r="E14" t="s">
        <v>25</v>
      </c>
      <c r="F14" s="1">
        <v>2412503.38</v>
      </c>
      <c r="J14" s="1">
        <v>15135257.59</v>
      </c>
    </row>
    <row r="15" spans="1:10" x14ac:dyDescent="0.25">
      <c r="A15" t="s">
        <v>6</v>
      </c>
      <c r="B15" t="s">
        <v>26</v>
      </c>
      <c r="C15" s="1">
        <v>16459163.57</v>
      </c>
    </row>
    <row r="16" spans="1:10" x14ac:dyDescent="0.25">
      <c r="A16" t="s">
        <v>6</v>
      </c>
      <c r="B16" t="s">
        <v>27</v>
      </c>
      <c r="C16" s="1">
        <v>16459163.57</v>
      </c>
      <c r="F16" s="1"/>
    </row>
    <row r="17" spans="1:3" x14ac:dyDescent="0.25">
      <c r="A17" t="s">
        <v>6</v>
      </c>
      <c r="B17" t="s">
        <v>28</v>
      </c>
      <c r="C17" s="1">
        <v>3308025.4</v>
      </c>
    </row>
    <row r="18" spans="1:3" x14ac:dyDescent="0.25">
      <c r="A18" t="s">
        <v>6</v>
      </c>
      <c r="B18" t="s">
        <v>29</v>
      </c>
      <c r="C18" s="1">
        <v>3049121.3</v>
      </c>
    </row>
    <row r="19" spans="1:3" x14ac:dyDescent="0.25">
      <c r="A19" t="s">
        <v>6</v>
      </c>
      <c r="B19" t="s">
        <v>30</v>
      </c>
      <c r="C19" s="1">
        <v>258904.1</v>
      </c>
    </row>
    <row r="20" spans="1:3" x14ac:dyDescent="0.25">
      <c r="A20" t="s">
        <v>6</v>
      </c>
      <c r="B20" t="s">
        <v>31</v>
      </c>
      <c r="C20" s="1">
        <v>1921557.46</v>
      </c>
    </row>
    <row r="21" spans="1:3" x14ac:dyDescent="0.25">
      <c r="A21" t="s">
        <v>6</v>
      </c>
      <c r="B21" t="s">
        <v>32</v>
      </c>
      <c r="C21" s="1">
        <v>1921557.46</v>
      </c>
    </row>
    <row r="22" spans="1:3" x14ac:dyDescent="0.25">
      <c r="A22" t="s">
        <v>6</v>
      </c>
      <c r="B22" t="s">
        <v>33</v>
      </c>
      <c r="C22" s="1">
        <v>1404584.67</v>
      </c>
    </row>
    <row r="23" spans="1:3" x14ac:dyDescent="0.25">
      <c r="A23" t="s">
        <v>6</v>
      </c>
      <c r="B23" t="s">
        <v>34</v>
      </c>
      <c r="C23" s="1">
        <v>1404584.67</v>
      </c>
    </row>
    <row r="24" spans="1:3" x14ac:dyDescent="0.25">
      <c r="A24" t="s">
        <v>6</v>
      </c>
      <c r="B24" t="s">
        <v>35</v>
      </c>
      <c r="C24" s="1">
        <v>1404584.67</v>
      </c>
    </row>
    <row r="25" spans="1:3" x14ac:dyDescent="0.25">
      <c r="A25" t="s">
        <v>6</v>
      </c>
      <c r="B25" t="s">
        <v>36</v>
      </c>
      <c r="C25" s="1">
        <v>268207380.96000001</v>
      </c>
    </row>
    <row r="26" spans="1:3" x14ac:dyDescent="0.25">
      <c r="A26" t="s">
        <v>6</v>
      </c>
      <c r="B26" t="s">
        <v>37</v>
      </c>
      <c r="C26" s="1">
        <v>268035588.72999999</v>
      </c>
    </row>
    <row r="27" spans="1:3" x14ac:dyDescent="0.25">
      <c r="A27" t="s">
        <v>6</v>
      </c>
      <c r="B27" t="s">
        <v>38</v>
      </c>
      <c r="C27" s="1">
        <v>143844041.38</v>
      </c>
    </row>
    <row r="28" spans="1:3" x14ac:dyDescent="0.25">
      <c r="A28" t="s">
        <v>6</v>
      </c>
      <c r="B28" t="s">
        <v>39</v>
      </c>
      <c r="C28" s="1">
        <v>76545370.890000001</v>
      </c>
    </row>
    <row r="29" spans="1:3" x14ac:dyDescent="0.25">
      <c r="A29" t="s">
        <v>6</v>
      </c>
      <c r="B29" t="s">
        <v>40</v>
      </c>
      <c r="C29" s="1">
        <v>73861881.659999996</v>
      </c>
    </row>
    <row r="30" spans="1:3" x14ac:dyDescent="0.25">
      <c r="A30" t="s">
        <v>6</v>
      </c>
      <c r="B30" t="s">
        <v>41</v>
      </c>
      <c r="C30" s="1">
        <v>2297226.31</v>
      </c>
    </row>
    <row r="31" spans="1:3" x14ac:dyDescent="0.25">
      <c r="A31" t="s">
        <v>6</v>
      </c>
      <c r="B31" t="s">
        <v>42</v>
      </c>
      <c r="C31" s="1">
        <v>386262.92</v>
      </c>
    </row>
    <row r="32" spans="1:3" x14ac:dyDescent="0.25">
      <c r="A32" t="s">
        <v>6</v>
      </c>
      <c r="B32" t="s">
        <v>43</v>
      </c>
      <c r="C32" s="1">
        <v>1127150.07</v>
      </c>
    </row>
    <row r="33" spans="1:3" x14ac:dyDescent="0.25">
      <c r="A33" t="s">
        <v>6</v>
      </c>
      <c r="B33" t="s">
        <v>44</v>
      </c>
      <c r="C33" s="1">
        <v>1094898.83</v>
      </c>
    </row>
    <row r="34" spans="1:3" x14ac:dyDescent="0.25">
      <c r="A34" t="s">
        <v>6</v>
      </c>
      <c r="B34" t="s">
        <v>45</v>
      </c>
      <c r="C34" s="1">
        <v>32251.24</v>
      </c>
    </row>
    <row r="35" spans="1:3" x14ac:dyDescent="0.25">
      <c r="A35" t="s">
        <v>6</v>
      </c>
      <c r="B35" t="s">
        <v>46</v>
      </c>
      <c r="C35" s="1">
        <v>57021638.340000004</v>
      </c>
    </row>
    <row r="36" spans="1:3" x14ac:dyDescent="0.25">
      <c r="A36" t="s">
        <v>6</v>
      </c>
      <c r="B36" t="s">
        <v>47</v>
      </c>
      <c r="C36" s="1">
        <v>243213</v>
      </c>
    </row>
    <row r="37" spans="1:3" x14ac:dyDescent="0.25">
      <c r="A37" t="s">
        <v>6</v>
      </c>
      <c r="B37" t="s">
        <v>48</v>
      </c>
      <c r="C37" s="1">
        <v>8906669.0800000001</v>
      </c>
    </row>
    <row r="38" spans="1:3" x14ac:dyDescent="0.25">
      <c r="A38" t="s">
        <v>6</v>
      </c>
      <c r="B38" t="s">
        <v>49</v>
      </c>
      <c r="C38" s="1">
        <v>69012860.530000001</v>
      </c>
    </row>
    <row r="39" spans="1:3" x14ac:dyDescent="0.25">
      <c r="A39" t="s">
        <v>6</v>
      </c>
      <c r="B39" t="s">
        <v>50</v>
      </c>
      <c r="C39" s="1">
        <v>69012860.530000001</v>
      </c>
    </row>
    <row r="40" spans="1:3" x14ac:dyDescent="0.25">
      <c r="A40" t="s">
        <v>6</v>
      </c>
      <c r="B40" t="s">
        <v>51</v>
      </c>
      <c r="C40" s="1">
        <v>55526478.829999998</v>
      </c>
    </row>
    <row r="41" spans="1:3" x14ac:dyDescent="0.25">
      <c r="A41" t="s">
        <v>6</v>
      </c>
      <c r="B41" t="s">
        <v>52</v>
      </c>
      <c r="C41" s="1">
        <v>11357440.779999999</v>
      </c>
    </row>
    <row r="42" spans="1:3" x14ac:dyDescent="0.25">
      <c r="A42" t="s">
        <v>6</v>
      </c>
      <c r="B42" t="s">
        <v>53</v>
      </c>
      <c r="C42" s="1">
        <v>728061.53</v>
      </c>
    </row>
    <row r="43" spans="1:3" x14ac:dyDescent="0.25">
      <c r="A43" t="s">
        <v>6</v>
      </c>
      <c r="B43" t="s">
        <v>54</v>
      </c>
      <c r="C43" s="1">
        <v>15167.26</v>
      </c>
    </row>
    <row r="44" spans="1:3" x14ac:dyDescent="0.25">
      <c r="A44" t="s">
        <v>6</v>
      </c>
      <c r="B44" t="s">
        <v>55</v>
      </c>
      <c r="C44" s="1">
        <v>1385712.13</v>
      </c>
    </row>
    <row r="45" spans="1:3" x14ac:dyDescent="0.25">
      <c r="A45" t="s">
        <v>6</v>
      </c>
      <c r="B45" t="s">
        <v>56</v>
      </c>
      <c r="C45" s="1">
        <v>55178686.82</v>
      </c>
    </row>
    <row r="46" spans="1:3" x14ac:dyDescent="0.25">
      <c r="A46" t="s">
        <v>6</v>
      </c>
      <c r="B46" t="s">
        <v>57</v>
      </c>
      <c r="C46" s="1">
        <v>40043429.229999997</v>
      </c>
    </row>
    <row r="47" spans="1:3" x14ac:dyDescent="0.25">
      <c r="A47" t="s">
        <v>6</v>
      </c>
      <c r="B47" t="s">
        <v>58</v>
      </c>
      <c r="C47" s="1">
        <v>15135257.59</v>
      </c>
    </row>
    <row r="48" spans="1:3" x14ac:dyDescent="0.25">
      <c r="A48" t="s">
        <v>6</v>
      </c>
      <c r="B48" t="s">
        <v>59</v>
      </c>
      <c r="C48" s="1">
        <v>171792.23</v>
      </c>
    </row>
    <row r="49" spans="1:3" x14ac:dyDescent="0.25">
      <c r="A49" t="s">
        <v>6</v>
      </c>
      <c r="B49" t="s">
        <v>60</v>
      </c>
      <c r="C49" s="1">
        <v>171792.23</v>
      </c>
    </row>
    <row r="50" spans="1:3" x14ac:dyDescent="0.25">
      <c r="A50" t="s">
        <v>6</v>
      </c>
      <c r="B50" t="s">
        <v>61</v>
      </c>
      <c r="C50" s="1">
        <v>111361.73</v>
      </c>
    </row>
    <row r="51" spans="1:3" x14ac:dyDescent="0.25">
      <c r="A51" t="s">
        <v>6</v>
      </c>
      <c r="B51" t="s">
        <v>62</v>
      </c>
      <c r="C51" s="1">
        <v>60430.5</v>
      </c>
    </row>
    <row r="52" spans="1:3" x14ac:dyDescent="0.25">
      <c r="A52" t="s">
        <v>6</v>
      </c>
      <c r="B52" t="s">
        <v>63</v>
      </c>
      <c r="C52" s="1">
        <v>10922276.880000001</v>
      </c>
    </row>
    <row r="53" spans="1:3" x14ac:dyDescent="0.25">
      <c r="A53" t="s">
        <v>6</v>
      </c>
      <c r="B53" t="s">
        <v>64</v>
      </c>
      <c r="C53" s="1">
        <v>1960132.16</v>
      </c>
    </row>
    <row r="54" spans="1:3" x14ac:dyDescent="0.25">
      <c r="A54" t="s">
        <v>6</v>
      </c>
      <c r="B54" t="s">
        <v>65</v>
      </c>
      <c r="C54" s="1">
        <v>452049.93</v>
      </c>
    </row>
    <row r="55" spans="1:3" x14ac:dyDescent="0.25">
      <c r="A55" t="s">
        <v>6</v>
      </c>
      <c r="B55" t="s">
        <v>66</v>
      </c>
      <c r="C55" s="1">
        <v>1507959.1</v>
      </c>
    </row>
    <row r="56" spans="1:3" x14ac:dyDescent="0.25">
      <c r="A56" t="s">
        <v>6</v>
      </c>
      <c r="B56" t="s">
        <v>67</v>
      </c>
      <c r="C56" s="1">
        <v>123.13</v>
      </c>
    </row>
    <row r="57" spans="1:3" x14ac:dyDescent="0.25">
      <c r="A57" t="s">
        <v>6</v>
      </c>
      <c r="B57" t="s">
        <v>68</v>
      </c>
      <c r="C57" s="1">
        <v>23918.27</v>
      </c>
    </row>
    <row r="58" spans="1:3" x14ac:dyDescent="0.25">
      <c r="A58" t="s">
        <v>6</v>
      </c>
      <c r="B58" t="s">
        <v>69</v>
      </c>
      <c r="C58" s="1">
        <v>23171.77</v>
      </c>
    </row>
    <row r="59" spans="1:3" x14ac:dyDescent="0.25">
      <c r="A59" t="s">
        <v>6</v>
      </c>
      <c r="B59" t="s">
        <v>70</v>
      </c>
      <c r="C59" s="1">
        <v>746.5</v>
      </c>
    </row>
    <row r="60" spans="1:3" x14ac:dyDescent="0.25">
      <c r="A60" t="s">
        <v>6</v>
      </c>
      <c r="B60" t="s">
        <v>71</v>
      </c>
      <c r="C60" s="1">
        <v>746.5</v>
      </c>
    </row>
    <row r="61" spans="1:3" x14ac:dyDescent="0.25">
      <c r="A61" t="s">
        <v>6</v>
      </c>
      <c r="B61" t="s">
        <v>72</v>
      </c>
      <c r="C61" s="1">
        <v>2480415.69</v>
      </c>
    </row>
    <row r="62" spans="1:3" x14ac:dyDescent="0.25">
      <c r="A62" t="s">
        <v>6</v>
      </c>
      <c r="B62" t="s">
        <v>73</v>
      </c>
      <c r="C62" s="1">
        <v>2480415.69</v>
      </c>
    </row>
    <row r="63" spans="1:3" x14ac:dyDescent="0.25">
      <c r="A63" t="s">
        <v>6</v>
      </c>
      <c r="B63" t="s">
        <v>74</v>
      </c>
      <c r="C63" s="1">
        <v>6457810.7599999998</v>
      </c>
    </row>
    <row r="64" spans="1:3" x14ac:dyDescent="0.25">
      <c r="A64" t="s">
        <v>6</v>
      </c>
      <c r="B64" t="s">
        <v>75</v>
      </c>
      <c r="C64" s="1">
        <v>2412503.38</v>
      </c>
    </row>
    <row r="65" spans="1:3" x14ac:dyDescent="0.25">
      <c r="A65" t="s">
        <v>6</v>
      </c>
      <c r="B65" t="s">
        <v>76</v>
      </c>
      <c r="C65" s="1">
        <v>830140</v>
      </c>
    </row>
    <row r="66" spans="1:3" x14ac:dyDescent="0.25">
      <c r="A66" t="s">
        <v>6</v>
      </c>
      <c r="B66" t="s">
        <v>77</v>
      </c>
      <c r="C66" s="1">
        <v>830140</v>
      </c>
    </row>
    <row r="67" spans="1:3" x14ac:dyDescent="0.25">
      <c r="A67" t="s">
        <v>6</v>
      </c>
      <c r="B67" t="s">
        <v>78</v>
      </c>
      <c r="C67" s="1">
        <v>1582363.38</v>
      </c>
    </row>
    <row r="68" spans="1:3" x14ac:dyDescent="0.25">
      <c r="A68" t="s">
        <v>6</v>
      </c>
      <c r="B68" t="s">
        <v>79</v>
      </c>
      <c r="C68" s="1">
        <v>860030.78</v>
      </c>
    </row>
    <row r="69" spans="1:3" x14ac:dyDescent="0.25">
      <c r="A69" t="s">
        <v>6</v>
      </c>
      <c r="B69" t="s">
        <v>80</v>
      </c>
      <c r="C69" s="1">
        <v>860030.78</v>
      </c>
    </row>
    <row r="70" spans="1:3" x14ac:dyDescent="0.25">
      <c r="A70" t="s">
        <v>6</v>
      </c>
      <c r="B70" t="s">
        <v>81</v>
      </c>
      <c r="C70" s="1">
        <v>860030.78</v>
      </c>
    </row>
    <row r="71" spans="1:3" x14ac:dyDescent="0.25">
      <c r="A71" t="s">
        <v>6</v>
      </c>
      <c r="B71" t="s">
        <v>82</v>
      </c>
      <c r="C71" s="1">
        <v>722332.6</v>
      </c>
    </row>
    <row r="72" spans="1:3" x14ac:dyDescent="0.25">
      <c r="A72" t="s">
        <v>6</v>
      </c>
      <c r="B72" t="s">
        <v>83</v>
      </c>
      <c r="C72" s="1">
        <v>722332.6</v>
      </c>
    </row>
    <row r="73" spans="1:3" x14ac:dyDescent="0.25">
      <c r="A73" t="s">
        <v>6</v>
      </c>
      <c r="B73" t="s">
        <v>84</v>
      </c>
      <c r="C73" s="1">
        <v>722332.6</v>
      </c>
    </row>
    <row r="75" spans="1:3" x14ac:dyDescent="0.25">
      <c r="C75" s="1"/>
    </row>
  </sheetData>
  <autoFilter ref="A4:F73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workbookViewId="0">
      <selection activeCell="A39" sqref="A39"/>
    </sheetView>
  </sheetViews>
  <sheetFormatPr defaultRowHeight="15" x14ac:dyDescent="0.25"/>
  <cols>
    <col min="1" max="1" width="40" bestFit="1" customWidth="1"/>
    <col min="2" max="2" width="161.28515625" bestFit="1" customWidth="1"/>
    <col min="3" max="3" width="19.5703125" bestFit="1" customWidth="1"/>
    <col min="5" max="5" width="17.42578125" bestFit="1" customWidth="1"/>
    <col min="6" max="6" width="19.5703125" bestFit="1" customWidth="1"/>
    <col min="7" max="7" width="16.85546875" bestFit="1" customWidth="1"/>
  </cols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85</v>
      </c>
      <c r="B5" t="s">
        <v>7</v>
      </c>
      <c r="C5" s="1">
        <v>1044224123.3200001</v>
      </c>
      <c r="E5" t="s">
        <v>7</v>
      </c>
      <c r="F5" s="1">
        <v>1044224123.3200001</v>
      </c>
    </row>
    <row r="6" spans="1:6" x14ac:dyDescent="0.25">
      <c r="A6" t="s">
        <v>85</v>
      </c>
      <c r="B6" t="s">
        <v>8</v>
      </c>
      <c r="C6" s="1">
        <v>971727499.35000002</v>
      </c>
      <c r="E6" t="s">
        <v>9</v>
      </c>
      <c r="F6" s="1">
        <v>262130955.81999999</v>
      </c>
    </row>
    <row r="7" spans="1:6" x14ac:dyDescent="0.25">
      <c r="A7" t="s">
        <v>85</v>
      </c>
      <c r="B7" t="s">
        <v>10</v>
      </c>
      <c r="C7" s="1">
        <v>262130955.81999999</v>
      </c>
      <c r="E7" t="s">
        <v>11</v>
      </c>
      <c r="F7" s="1">
        <v>58431258.969999999</v>
      </c>
    </row>
    <row r="8" spans="1:6" x14ac:dyDescent="0.25">
      <c r="A8" t="s">
        <v>85</v>
      </c>
      <c r="B8" t="s">
        <v>12</v>
      </c>
      <c r="C8" s="1">
        <v>244653902.50999999</v>
      </c>
      <c r="E8" t="s">
        <v>13</v>
      </c>
      <c r="F8" s="1">
        <v>20647258.699999999</v>
      </c>
    </row>
    <row r="9" spans="1:6" x14ac:dyDescent="0.25">
      <c r="A9" t="s">
        <v>85</v>
      </c>
      <c r="B9" t="s">
        <v>14</v>
      </c>
      <c r="C9" s="1">
        <v>105520073.06</v>
      </c>
      <c r="E9" t="s">
        <v>15</v>
      </c>
      <c r="F9" s="1">
        <v>139133829.44999999</v>
      </c>
    </row>
    <row r="10" spans="1:6" x14ac:dyDescent="0.25">
      <c r="A10" t="s">
        <v>85</v>
      </c>
      <c r="B10" t="s">
        <v>16</v>
      </c>
      <c r="C10" s="1">
        <v>58431258.969999999</v>
      </c>
      <c r="E10" t="s">
        <v>17</v>
      </c>
      <c r="F10" s="1">
        <v>611351733.66999996</v>
      </c>
    </row>
    <row r="11" spans="1:6" x14ac:dyDescent="0.25">
      <c r="A11" t="s">
        <v>85</v>
      </c>
      <c r="B11" t="s">
        <v>18</v>
      </c>
      <c r="C11" s="1">
        <v>26441555.390000001</v>
      </c>
      <c r="E11" t="s">
        <v>19</v>
      </c>
      <c r="F11" s="1">
        <v>75730355.700000003</v>
      </c>
    </row>
    <row r="12" spans="1:6" x14ac:dyDescent="0.25">
      <c r="A12" t="s">
        <v>85</v>
      </c>
      <c r="B12" t="s">
        <v>20</v>
      </c>
      <c r="C12" s="1">
        <v>22507434.489999998</v>
      </c>
      <c r="E12" t="s">
        <v>21</v>
      </c>
      <c r="F12" s="1">
        <v>355669847.33999997</v>
      </c>
    </row>
    <row r="13" spans="1:6" x14ac:dyDescent="0.25">
      <c r="A13" t="s">
        <v>85</v>
      </c>
      <c r="B13" t="s">
        <v>22</v>
      </c>
      <c r="C13" s="1">
        <v>3934120.9</v>
      </c>
      <c r="E13" t="s">
        <v>23</v>
      </c>
      <c r="F13" s="1">
        <f>SUM(G60:G61)</f>
        <v>99321076.75999999</v>
      </c>
    </row>
    <row r="14" spans="1:6" x14ac:dyDescent="0.25">
      <c r="A14" t="s">
        <v>85</v>
      </c>
      <c r="B14" t="s">
        <v>24</v>
      </c>
      <c r="C14" s="1">
        <v>20647258.699999999</v>
      </c>
      <c r="E14" t="s">
        <v>25</v>
      </c>
      <c r="F14" s="1">
        <v>14459156.99</v>
      </c>
    </row>
    <row r="15" spans="1:6" x14ac:dyDescent="0.25">
      <c r="A15" t="s">
        <v>85</v>
      </c>
      <c r="B15" t="s">
        <v>26</v>
      </c>
      <c r="C15" s="1">
        <v>139133829.44999999</v>
      </c>
    </row>
    <row r="16" spans="1:6" x14ac:dyDescent="0.25">
      <c r="A16" t="s">
        <v>85</v>
      </c>
      <c r="B16" t="s">
        <v>27</v>
      </c>
      <c r="C16" s="1">
        <v>139133829.44999999</v>
      </c>
    </row>
    <row r="17" spans="1:3" x14ac:dyDescent="0.25">
      <c r="A17" t="s">
        <v>85</v>
      </c>
      <c r="B17" t="s">
        <v>28</v>
      </c>
      <c r="C17" s="1">
        <v>17477053.309999999</v>
      </c>
    </row>
    <row r="18" spans="1:3" x14ac:dyDescent="0.25">
      <c r="A18" t="s">
        <v>85</v>
      </c>
      <c r="B18" t="s">
        <v>29</v>
      </c>
      <c r="C18" s="1">
        <v>6405384.79</v>
      </c>
    </row>
    <row r="19" spans="1:3" x14ac:dyDescent="0.25">
      <c r="A19" t="s">
        <v>85</v>
      </c>
      <c r="B19" t="s">
        <v>30</v>
      </c>
      <c r="C19" s="1">
        <v>11071668.52</v>
      </c>
    </row>
    <row r="20" spans="1:3" x14ac:dyDescent="0.25">
      <c r="A20" t="s">
        <v>85</v>
      </c>
      <c r="B20" t="s">
        <v>31</v>
      </c>
      <c r="C20" s="1">
        <v>41142887.770000003</v>
      </c>
    </row>
    <row r="21" spans="1:3" x14ac:dyDescent="0.25">
      <c r="A21" t="s">
        <v>85</v>
      </c>
      <c r="B21" t="s">
        <v>86</v>
      </c>
      <c r="C21" s="1">
        <v>31792073.199999999</v>
      </c>
    </row>
    <row r="22" spans="1:3" x14ac:dyDescent="0.25">
      <c r="A22" t="s">
        <v>85</v>
      </c>
      <c r="B22" t="s">
        <v>87</v>
      </c>
      <c r="C22" s="1">
        <v>21863832.219999999</v>
      </c>
    </row>
    <row r="23" spans="1:3" x14ac:dyDescent="0.25">
      <c r="A23" t="s">
        <v>85</v>
      </c>
      <c r="B23" t="s">
        <v>88</v>
      </c>
      <c r="C23" s="1">
        <v>20958256.800000001</v>
      </c>
    </row>
    <row r="24" spans="1:3" x14ac:dyDescent="0.25">
      <c r="A24" t="s">
        <v>85</v>
      </c>
      <c r="B24" t="s">
        <v>89</v>
      </c>
      <c r="C24" s="1">
        <v>865753.67</v>
      </c>
    </row>
    <row r="25" spans="1:3" x14ac:dyDescent="0.25">
      <c r="A25" t="s">
        <v>85</v>
      </c>
      <c r="B25" t="s">
        <v>90</v>
      </c>
      <c r="C25" s="1">
        <v>39821.75</v>
      </c>
    </row>
    <row r="26" spans="1:3" x14ac:dyDescent="0.25">
      <c r="A26" t="s">
        <v>85</v>
      </c>
      <c r="B26" t="s">
        <v>91</v>
      </c>
      <c r="C26" s="1">
        <v>9928240.9800000004</v>
      </c>
    </row>
    <row r="27" spans="1:3" x14ac:dyDescent="0.25">
      <c r="A27" t="s">
        <v>85</v>
      </c>
      <c r="B27" t="s">
        <v>32</v>
      </c>
      <c r="C27" s="1">
        <v>9350814.5700000003</v>
      </c>
    </row>
    <row r="28" spans="1:3" x14ac:dyDescent="0.25">
      <c r="A28" t="s">
        <v>85</v>
      </c>
      <c r="B28" t="s">
        <v>33</v>
      </c>
      <c r="C28" s="1">
        <v>30585804.969999999</v>
      </c>
    </row>
    <row r="29" spans="1:3" x14ac:dyDescent="0.25">
      <c r="A29" t="s">
        <v>85</v>
      </c>
      <c r="B29" t="s">
        <v>34</v>
      </c>
      <c r="C29" s="1">
        <v>30585804.969999999</v>
      </c>
    </row>
    <row r="30" spans="1:3" x14ac:dyDescent="0.25">
      <c r="A30" t="s">
        <v>85</v>
      </c>
      <c r="B30" t="s">
        <v>92</v>
      </c>
      <c r="C30" s="1">
        <v>26371.55</v>
      </c>
    </row>
    <row r="31" spans="1:3" x14ac:dyDescent="0.25">
      <c r="A31" t="s">
        <v>85</v>
      </c>
      <c r="B31" t="s">
        <v>93</v>
      </c>
      <c r="C31" s="1">
        <v>12879543.92</v>
      </c>
    </row>
    <row r="32" spans="1:3" x14ac:dyDescent="0.25">
      <c r="A32" t="s">
        <v>85</v>
      </c>
      <c r="B32" t="s">
        <v>94</v>
      </c>
      <c r="C32" s="1">
        <v>17679889.5</v>
      </c>
    </row>
    <row r="33" spans="1:3" x14ac:dyDescent="0.25">
      <c r="A33" t="s">
        <v>85</v>
      </c>
      <c r="B33" t="s">
        <v>95</v>
      </c>
      <c r="C33" s="1">
        <v>1845346.64</v>
      </c>
    </row>
    <row r="34" spans="1:3" x14ac:dyDescent="0.25">
      <c r="A34" t="s">
        <v>85</v>
      </c>
      <c r="B34" t="s">
        <v>96</v>
      </c>
      <c r="C34" s="1">
        <v>45791.81</v>
      </c>
    </row>
    <row r="35" spans="1:3" x14ac:dyDescent="0.25">
      <c r="A35" t="s">
        <v>85</v>
      </c>
      <c r="B35" t="s">
        <v>97</v>
      </c>
      <c r="C35" s="1">
        <v>1799554.83</v>
      </c>
    </row>
    <row r="36" spans="1:3" x14ac:dyDescent="0.25">
      <c r="A36" t="s">
        <v>85</v>
      </c>
      <c r="B36" t="s">
        <v>36</v>
      </c>
      <c r="C36" s="1">
        <v>611351733.66999996</v>
      </c>
    </row>
    <row r="37" spans="1:3" x14ac:dyDescent="0.25">
      <c r="A37" t="s">
        <v>85</v>
      </c>
      <c r="B37" t="s">
        <v>37</v>
      </c>
      <c r="C37" s="1">
        <v>611192883.66999996</v>
      </c>
    </row>
    <row r="38" spans="1:3" x14ac:dyDescent="0.25">
      <c r="A38" t="s">
        <v>85</v>
      </c>
      <c r="B38" t="s">
        <v>38</v>
      </c>
      <c r="C38" s="1">
        <v>134239333.30000001</v>
      </c>
    </row>
    <row r="39" spans="1:3" x14ac:dyDescent="0.25">
      <c r="A39" t="s">
        <v>85</v>
      </c>
      <c r="B39" t="s">
        <v>39</v>
      </c>
      <c r="C39" s="1">
        <v>75790821.930000007</v>
      </c>
    </row>
    <row r="40" spans="1:3" x14ac:dyDescent="0.25">
      <c r="A40" t="s">
        <v>85</v>
      </c>
      <c r="B40" t="s">
        <v>40</v>
      </c>
      <c r="C40" s="1">
        <v>75730355.700000003</v>
      </c>
    </row>
    <row r="41" spans="1:3" x14ac:dyDescent="0.25">
      <c r="A41" t="s">
        <v>85</v>
      </c>
      <c r="B41" t="s">
        <v>41</v>
      </c>
      <c r="C41" s="1">
        <v>60466.23</v>
      </c>
    </row>
    <row r="42" spans="1:3" x14ac:dyDescent="0.25">
      <c r="A42" t="s">
        <v>85</v>
      </c>
      <c r="B42" t="s">
        <v>43</v>
      </c>
      <c r="C42" s="1">
        <v>9055211.9900000002</v>
      </c>
    </row>
    <row r="43" spans="1:3" x14ac:dyDescent="0.25">
      <c r="A43" t="s">
        <v>85</v>
      </c>
      <c r="B43" t="s">
        <v>98</v>
      </c>
      <c r="C43" s="1">
        <v>47305.74</v>
      </c>
    </row>
    <row r="44" spans="1:3" x14ac:dyDescent="0.25">
      <c r="A44" t="s">
        <v>85</v>
      </c>
      <c r="B44" t="s">
        <v>99</v>
      </c>
      <c r="C44" s="1">
        <v>7877255.2000000002</v>
      </c>
    </row>
    <row r="45" spans="1:3" x14ac:dyDescent="0.25">
      <c r="A45" t="s">
        <v>85</v>
      </c>
      <c r="B45" t="s">
        <v>100</v>
      </c>
      <c r="C45" s="1">
        <v>1130651.05</v>
      </c>
    </row>
    <row r="46" spans="1:3" x14ac:dyDescent="0.25">
      <c r="A46" t="s">
        <v>85</v>
      </c>
      <c r="B46" t="s">
        <v>46</v>
      </c>
      <c r="C46" s="1">
        <v>33749454.109999999</v>
      </c>
    </row>
    <row r="47" spans="1:3" x14ac:dyDescent="0.25">
      <c r="A47" t="s">
        <v>85</v>
      </c>
      <c r="B47" t="s">
        <v>101</v>
      </c>
      <c r="C47" s="1">
        <v>2083031.74</v>
      </c>
    </row>
    <row r="48" spans="1:3" x14ac:dyDescent="0.25">
      <c r="A48" t="s">
        <v>85</v>
      </c>
      <c r="B48" t="s">
        <v>102</v>
      </c>
      <c r="C48" s="1">
        <v>8191312.3300000001</v>
      </c>
    </row>
    <row r="49" spans="1:7" x14ac:dyDescent="0.25">
      <c r="A49" t="s">
        <v>85</v>
      </c>
      <c r="B49" t="s">
        <v>47</v>
      </c>
      <c r="C49" s="1">
        <v>1557435.72</v>
      </c>
    </row>
    <row r="50" spans="1:7" x14ac:dyDescent="0.25">
      <c r="A50" t="s">
        <v>85</v>
      </c>
      <c r="B50" t="s">
        <v>48</v>
      </c>
      <c r="C50" s="1">
        <v>3812065.48</v>
      </c>
    </row>
    <row r="51" spans="1:7" x14ac:dyDescent="0.25">
      <c r="A51" t="s">
        <v>85</v>
      </c>
      <c r="B51" t="s">
        <v>49</v>
      </c>
      <c r="C51" s="1">
        <v>377632473.61000001</v>
      </c>
    </row>
    <row r="52" spans="1:7" x14ac:dyDescent="0.25">
      <c r="A52" t="s">
        <v>85</v>
      </c>
      <c r="B52" t="s">
        <v>50</v>
      </c>
      <c r="C52" s="1">
        <v>375035823.48000002</v>
      </c>
    </row>
    <row r="53" spans="1:7" x14ac:dyDescent="0.25">
      <c r="A53" t="s">
        <v>85</v>
      </c>
      <c r="B53" t="s">
        <v>51</v>
      </c>
      <c r="C53" s="1">
        <v>355669847.33999997</v>
      </c>
    </row>
    <row r="54" spans="1:7" x14ac:dyDescent="0.25">
      <c r="A54" t="s">
        <v>85</v>
      </c>
      <c r="B54" t="s">
        <v>52</v>
      </c>
      <c r="C54" s="1">
        <v>14676905.84</v>
      </c>
    </row>
    <row r="55" spans="1:7" x14ac:dyDescent="0.25">
      <c r="A55" t="s">
        <v>85</v>
      </c>
      <c r="B55" t="s">
        <v>53</v>
      </c>
      <c r="C55" s="1">
        <v>4662205.67</v>
      </c>
    </row>
    <row r="56" spans="1:7" x14ac:dyDescent="0.25">
      <c r="A56" t="s">
        <v>85</v>
      </c>
      <c r="B56" t="s">
        <v>54</v>
      </c>
      <c r="C56" s="1">
        <v>26864.63</v>
      </c>
    </row>
    <row r="57" spans="1:7" x14ac:dyDescent="0.25">
      <c r="A57" t="s">
        <v>85</v>
      </c>
      <c r="B57" t="s">
        <v>103</v>
      </c>
      <c r="C57" s="1">
        <v>1363500</v>
      </c>
    </row>
    <row r="58" spans="1:7" x14ac:dyDescent="0.25">
      <c r="A58" t="s">
        <v>85</v>
      </c>
      <c r="B58" t="s">
        <v>104</v>
      </c>
      <c r="C58" s="1">
        <v>1233150.1299999999</v>
      </c>
    </row>
    <row r="59" spans="1:7" x14ac:dyDescent="0.25">
      <c r="A59" t="s">
        <v>85</v>
      </c>
      <c r="B59" t="s">
        <v>56</v>
      </c>
      <c r="C59" s="1">
        <v>99321076.760000005</v>
      </c>
    </row>
    <row r="60" spans="1:7" x14ac:dyDescent="0.25">
      <c r="A60" t="s">
        <v>85</v>
      </c>
      <c r="B60" t="s">
        <v>57</v>
      </c>
      <c r="C60" s="1">
        <v>71927342.709999993</v>
      </c>
      <c r="G60" s="1">
        <v>71927342.709999993</v>
      </c>
    </row>
    <row r="61" spans="1:7" x14ac:dyDescent="0.25">
      <c r="A61" t="s">
        <v>85</v>
      </c>
      <c r="B61" t="s">
        <v>58</v>
      </c>
      <c r="C61" s="1">
        <v>27393734.050000001</v>
      </c>
      <c r="G61" s="1">
        <v>27393734.050000001</v>
      </c>
    </row>
    <row r="62" spans="1:7" x14ac:dyDescent="0.25">
      <c r="A62" t="s">
        <v>85</v>
      </c>
      <c r="B62" t="s">
        <v>59</v>
      </c>
      <c r="C62" s="1">
        <v>158850</v>
      </c>
    </row>
    <row r="63" spans="1:7" x14ac:dyDescent="0.25">
      <c r="A63" t="s">
        <v>85</v>
      </c>
      <c r="B63" t="s">
        <v>105</v>
      </c>
      <c r="C63" s="1">
        <v>158850</v>
      </c>
    </row>
    <row r="64" spans="1:7" x14ac:dyDescent="0.25">
      <c r="A64" t="s">
        <v>85</v>
      </c>
      <c r="B64" t="s">
        <v>106</v>
      </c>
      <c r="C64" s="1">
        <v>158850</v>
      </c>
    </row>
    <row r="65" spans="1:3" x14ac:dyDescent="0.25">
      <c r="A65" t="s">
        <v>85</v>
      </c>
      <c r="B65" t="s">
        <v>63</v>
      </c>
      <c r="C65" s="1">
        <v>24670770.48</v>
      </c>
    </row>
    <row r="66" spans="1:3" x14ac:dyDescent="0.25">
      <c r="A66" t="s">
        <v>85</v>
      </c>
      <c r="B66" t="s">
        <v>64</v>
      </c>
      <c r="C66" s="1">
        <v>8186114.5599999996</v>
      </c>
    </row>
    <row r="67" spans="1:3" x14ac:dyDescent="0.25">
      <c r="A67" t="s">
        <v>85</v>
      </c>
      <c r="B67" t="s">
        <v>65</v>
      </c>
      <c r="C67" s="1">
        <v>4858837.51</v>
      </c>
    </row>
    <row r="68" spans="1:3" x14ac:dyDescent="0.25">
      <c r="A68" t="s">
        <v>85</v>
      </c>
      <c r="B68" t="s">
        <v>107</v>
      </c>
      <c r="C68" s="1">
        <v>91026.54</v>
      </c>
    </row>
    <row r="69" spans="1:3" x14ac:dyDescent="0.25">
      <c r="A69" t="s">
        <v>85</v>
      </c>
      <c r="B69" t="s">
        <v>66</v>
      </c>
      <c r="C69" s="1">
        <v>803563.77</v>
      </c>
    </row>
    <row r="70" spans="1:3" x14ac:dyDescent="0.25">
      <c r="A70" t="s">
        <v>85</v>
      </c>
      <c r="B70" t="s">
        <v>108</v>
      </c>
      <c r="C70" s="1">
        <v>104301.34</v>
      </c>
    </row>
    <row r="71" spans="1:3" x14ac:dyDescent="0.25">
      <c r="A71" t="s">
        <v>85</v>
      </c>
      <c r="B71" t="s">
        <v>109</v>
      </c>
      <c r="C71" s="1">
        <v>11191.91</v>
      </c>
    </row>
    <row r="72" spans="1:3" x14ac:dyDescent="0.25">
      <c r="A72" t="s">
        <v>85</v>
      </c>
      <c r="B72" t="s">
        <v>110</v>
      </c>
      <c r="C72" s="1">
        <v>33.01</v>
      </c>
    </row>
    <row r="73" spans="1:3" x14ac:dyDescent="0.25">
      <c r="A73" t="s">
        <v>85</v>
      </c>
      <c r="B73" t="s">
        <v>67</v>
      </c>
      <c r="C73" s="1">
        <v>2317160.48</v>
      </c>
    </row>
    <row r="74" spans="1:3" x14ac:dyDescent="0.25">
      <c r="A74" t="s">
        <v>85</v>
      </c>
      <c r="B74" t="s">
        <v>68</v>
      </c>
      <c r="C74" s="1">
        <v>1731082.99</v>
      </c>
    </row>
    <row r="75" spans="1:3" x14ac:dyDescent="0.25">
      <c r="A75" t="s">
        <v>85</v>
      </c>
      <c r="B75" t="s">
        <v>70</v>
      </c>
      <c r="C75" s="1">
        <v>1731082.99</v>
      </c>
    </row>
    <row r="76" spans="1:3" x14ac:dyDescent="0.25">
      <c r="A76" t="s">
        <v>85</v>
      </c>
      <c r="B76" t="s">
        <v>71</v>
      </c>
      <c r="C76" s="1">
        <v>1731082.99</v>
      </c>
    </row>
    <row r="77" spans="1:3" x14ac:dyDescent="0.25">
      <c r="A77" t="s">
        <v>85</v>
      </c>
      <c r="B77" t="s">
        <v>72</v>
      </c>
      <c r="C77" s="1">
        <v>10189934.16</v>
      </c>
    </row>
    <row r="78" spans="1:3" x14ac:dyDescent="0.25">
      <c r="A78" t="s">
        <v>85</v>
      </c>
      <c r="B78" t="s">
        <v>73</v>
      </c>
      <c r="C78" s="1">
        <v>9435857.5099999998</v>
      </c>
    </row>
    <row r="79" spans="1:3" x14ac:dyDescent="0.25">
      <c r="A79" t="s">
        <v>85</v>
      </c>
      <c r="B79" t="s">
        <v>111</v>
      </c>
      <c r="C79" s="1">
        <v>754076.65</v>
      </c>
    </row>
    <row r="80" spans="1:3" x14ac:dyDescent="0.25">
      <c r="A80" t="s">
        <v>85</v>
      </c>
      <c r="B80" t="s">
        <v>74</v>
      </c>
      <c r="C80" s="1">
        <v>4563638.7699999996</v>
      </c>
    </row>
    <row r="81" spans="1:3" x14ac:dyDescent="0.25">
      <c r="A81" t="s">
        <v>85</v>
      </c>
      <c r="B81" t="s">
        <v>75</v>
      </c>
      <c r="C81" s="1">
        <v>14459156.99</v>
      </c>
    </row>
    <row r="82" spans="1:3" x14ac:dyDescent="0.25">
      <c r="A82" t="s">
        <v>85</v>
      </c>
      <c r="B82" t="s">
        <v>78</v>
      </c>
      <c r="C82" s="1">
        <v>14459156.99</v>
      </c>
    </row>
    <row r="83" spans="1:3" x14ac:dyDescent="0.25">
      <c r="A83" t="s">
        <v>85</v>
      </c>
      <c r="B83" t="s">
        <v>79</v>
      </c>
      <c r="C83" s="1">
        <v>1598966.78</v>
      </c>
    </row>
    <row r="84" spans="1:3" x14ac:dyDescent="0.25">
      <c r="A84" t="s">
        <v>85</v>
      </c>
      <c r="B84" t="s">
        <v>80</v>
      </c>
      <c r="C84" s="1">
        <v>1598966.78</v>
      </c>
    </row>
    <row r="85" spans="1:3" x14ac:dyDescent="0.25">
      <c r="A85" t="s">
        <v>85</v>
      </c>
      <c r="B85" t="s">
        <v>112</v>
      </c>
      <c r="C85" s="1">
        <v>1598966.78</v>
      </c>
    </row>
    <row r="86" spans="1:3" x14ac:dyDescent="0.25">
      <c r="A86" t="s">
        <v>85</v>
      </c>
      <c r="B86" t="s">
        <v>82</v>
      </c>
      <c r="C86" s="1">
        <v>12860190.210000001</v>
      </c>
    </row>
    <row r="87" spans="1:3" x14ac:dyDescent="0.25">
      <c r="A87" t="s">
        <v>85</v>
      </c>
      <c r="B87" t="s">
        <v>83</v>
      </c>
      <c r="C87" s="1">
        <v>12860190.210000001</v>
      </c>
    </row>
    <row r="88" spans="1:3" x14ac:dyDescent="0.25">
      <c r="A88" t="s">
        <v>85</v>
      </c>
      <c r="B88" t="s">
        <v>84</v>
      </c>
      <c r="C88" s="1">
        <v>12860190.210000001</v>
      </c>
    </row>
    <row r="89" spans="1:3" x14ac:dyDescent="0.25">
      <c r="A89" t="s">
        <v>85</v>
      </c>
      <c r="B89" t="s">
        <v>113</v>
      </c>
      <c r="C89" s="1">
        <v>58037466.979999997</v>
      </c>
    </row>
    <row r="90" spans="1:3" x14ac:dyDescent="0.25">
      <c r="A90" t="s">
        <v>85</v>
      </c>
      <c r="B90" t="s">
        <v>114</v>
      </c>
      <c r="C90" s="1">
        <v>41867412.200000003</v>
      </c>
    </row>
    <row r="91" spans="1:3" x14ac:dyDescent="0.25">
      <c r="A91" t="s">
        <v>85</v>
      </c>
      <c r="B91" t="s">
        <v>115</v>
      </c>
      <c r="C91" s="1">
        <v>41867412.200000003</v>
      </c>
    </row>
    <row r="92" spans="1:3" x14ac:dyDescent="0.25">
      <c r="A92" t="s">
        <v>85</v>
      </c>
      <c r="B92" t="s">
        <v>116</v>
      </c>
      <c r="C92" s="1">
        <v>41867412.200000003</v>
      </c>
    </row>
    <row r="93" spans="1:3" x14ac:dyDescent="0.25">
      <c r="A93" t="s">
        <v>85</v>
      </c>
      <c r="B93" t="s">
        <v>117</v>
      </c>
      <c r="C93" s="1">
        <v>41867412.200000003</v>
      </c>
    </row>
    <row r="94" spans="1:3" x14ac:dyDescent="0.25">
      <c r="A94" t="s">
        <v>85</v>
      </c>
      <c r="B94" t="s">
        <v>118</v>
      </c>
      <c r="C94" s="1">
        <v>16170054.779999999</v>
      </c>
    </row>
    <row r="95" spans="1:3" x14ac:dyDescent="0.25">
      <c r="A95" t="s">
        <v>85</v>
      </c>
      <c r="B95" t="s">
        <v>119</v>
      </c>
      <c r="C95" s="1">
        <v>16170054.779999999</v>
      </c>
    </row>
  </sheetData>
  <autoFilter ref="A4:H95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workbookViewId="0">
      <selection activeCell="E6" sqref="E6:E15"/>
    </sheetView>
  </sheetViews>
  <sheetFormatPr defaultRowHeight="15" x14ac:dyDescent="0.25"/>
  <cols>
    <col min="1" max="1" width="35.85546875" customWidth="1"/>
    <col min="2" max="2" width="102.28515625" customWidth="1"/>
    <col min="3" max="3" width="18" style="1" bestFit="1" customWidth="1"/>
    <col min="5" max="5" width="17.42578125" bestFit="1" customWidth="1"/>
    <col min="6" max="6" width="18" bestFit="1" customWidth="1"/>
    <col min="8" max="8" width="16.85546875" bestFit="1" customWidth="1"/>
  </cols>
  <sheetData>
    <row r="1" spans="1:6" x14ac:dyDescent="0.25">
      <c r="A1" t="s">
        <v>120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s="1" t="s">
        <v>5</v>
      </c>
    </row>
    <row r="5" spans="1:6" x14ac:dyDescent="0.25">
      <c r="A5" t="s">
        <v>6</v>
      </c>
      <c r="B5" t="s">
        <v>7</v>
      </c>
      <c r="C5" s="1">
        <v>350001283.25999999</v>
      </c>
    </row>
    <row r="6" spans="1:6" x14ac:dyDescent="0.25">
      <c r="A6" t="s">
        <v>6</v>
      </c>
      <c r="B6" t="s">
        <v>8</v>
      </c>
      <c r="C6" s="1">
        <v>348204039.13</v>
      </c>
      <c r="E6" t="s">
        <v>7</v>
      </c>
      <c r="F6" s="1">
        <v>350001283.25999999</v>
      </c>
    </row>
    <row r="7" spans="1:6" x14ac:dyDescent="0.25">
      <c r="A7" t="s">
        <v>6</v>
      </c>
      <c r="B7" t="s">
        <v>10</v>
      </c>
      <c r="C7" s="1">
        <v>41064083.950000003</v>
      </c>
      <c r="E7" t="s">
        <v>9</v>
      </c>
      <c r="F7" s="1">
        <v>41064083.950000003</v>
      </c>
    </row>
    <row r="8" spans="1:6" x14ac:dyDescent="0.25">
      <c r="A8" t="s">
        <v>6</v>
      </c>
      <c r="B8" t="s">
        <v>12</v>
      </c>
      <c r="C8" s="1">
        <v>34939553.009999998</v>
      </c>
      <c r="E8" t="s">
        <v>11</v>
      </c>
      <c r="F8" s="1">
        <v>3301358.03</v>
      </c>
    </row>
    <row r="9" spans="1:6" x14ac:dyDescent="0.25">
      <c r="A9" t="s">
        <v>6</v>
      </c>
      <c r="B9" t="s">
        <v>14</v>
      </c>
      <c r="C9" s="1">
        <v>16606715.27</v>
      </c>
      <c r="E9" t="s">
        <v>13</v>
      </c>
      <c r="F9" s="1">
        <v>5162808.47</v>
      </c>
    </row>
    <row r="10" spans="1:6" x14ac:dyDescent="0.25">
      <c r="A10" t="s">
        <v>6</v>
      </c>
      <c r="B10" t="s">
        <v>16</v>
      </c>
      <c r="C10" s="1">
        <v>3301358.03</v>
      </c>
      <c r="E10" t="s">
        <v>15</v>
      </c>
      <c r="F10" s="1">
        <v>18332837.739999998</v>
      </c>
    </row>
    <row r="11" spans="1:6" x14ac:dyDescent="0.25">
      <c r="A11" t="s">
        <v>6</v>
      </c>
      <c r="B11" t="s">
        <v>18</v>
      </c>
      <c r="C11" s="1">
        <v>8142548.7699999996</v>
      </c>
      <c r="E11" t="s">
        <v>121</v>
      </c>
      <c r="F11" s="1">
        <v>291515644.75</v>
      </c>
    </row>
    <row r="12" spans="1:6" x14ac:dyDescent="0.25">
      <c r="A12" t="s">
        <v>6</v>
      </c>
      <c r="B12" t="s">
        <v>20</v>
      </c>
      <c r="C12" s="1">
        <v>8142548.7699999996</v>
      </c>
      <c r="E12" t="s">
        <v>19</v>
      </c>
      <c r="F12" s="1">
        <v>80348331.269999996</v>
      </c>
    </row>
    <row r="13" spans="1:6" x14ac:dyDescent="0.25">
      <c r="A13" t="s">
        <v>6</v>
      </c>
      <c r="B13" t="s">
        <v>24</v>
      </c>
      <c r="C13" s="1">
        <v>5162808.47</v>
      </c>
      <c r="E13" t="s">
        <v>21</v>
      </c>
      <c r="F13" s="1">
        <v>60643607.719999999</v>
      </c>
    </row>
    <row r="14" spans="1:6" x14ac:dyDescent="0.25">
      <c r="A14" t="s">
        <v>6</v>
      </c>
      <c r="B14" t="s">
        <v>26</v>
      </c>
      <c r="C14" s="1">
        <v>18332837.739999998</v>
      </c>
      <c r="E14" t="s">
        <v>23</v>
      </c>
      <c r="F14" s="1">
        <v>62339427.939999998</v>
      </c>
    </row>
    <row r="15" spans="1:6" x14ac:dyDescent="0.25">
      <c r="A15" t="s">
        <v>6</v>
      </c>
      <c r="B15" t="s">
        <v>27</v>
      </c>
      <c r="C15" s="1">
        <v>18332837.739999998</v>
      </c>
      <c r="E15" t="s">
        <v>25</v>
      </c>
      <c r="F15" s="1">
        <v>1797244.13</v>
      </c>
    </row>
    <row r="16" spans="1:6" x14ac:dyDescent="0.25">
      <c r="A16" t="s">
        <v>6</v>
      </c>
      <c r="B16" t="s">
        <v>28</v>
      </c>
      <c r="C16" s="1">
        <v>6124530.9400000004</v>
      </c>
    </row>
    <row r="17" spans="1:3" x14ac:dyDescent="0.25">
      <c r="A17" t="s">
        <v>6</v>
      </c>
      <c r="B17" t="s">
        <v>29</v>
      </c>
      <c r="C17" s="1">
        <v>3672926.97</v>
      </c>
    </row>
    <row r="18" spans="1:3" x14ac:dyDescent="0.25">
      <c r="A18" t="s">
        <v>6</v>
      </c>
      <c r="B18" t="s">
        <v>30</v>
      </c>
      <c r="C18" s="1">
        <v>2451603.9700000002</v>
      </c>
    </row>
    <row r="19" spans="1:3" x14ac:dyDescent="0.25">
      <c r="A19" t="s">
        <v>6</v>
      </c>
      <c r="B19" t="s">
        <v>31</v>
      </c>
      <c r="C19" s="1">
        <v>6398562.5300000003</v>
      </c>
    </row>
    <row r="20" spans="1:3" x14ac:dyDescent="0.25">
      <c r="A20" t="s">
        <v>6</v>
      </c>
      <c r="B20" t="s">
        <v>32</v>
      </c>
      <c r="C20" s="1">
        <v>6398562.5300000003</v>
      </c>
    </row>
    <row r="21" spans="1:3" x14ac:dyDescent="0.25">
      <c r="A21" t="s">
        <v>6</v>
      </c>
      <c r="B21" t="s">
        <v>33</v>
      </c>
      <c r="C21" s="1">
        <v>1967761.94</v>
      </c>
    </row>
    <row r="22" spans="1:3" x14ac:dyDescent="0.25">
      <c r="A22" t="s">
        <v>6</v>
      </c>
      <c r="B22" t="s">
        <v>34</v>
      </c>
      <c r="C22" s="1">
        <v>1967761.94</v>
      </c>
    </row>
    <row r="23" spans="1:3" x14ac:dyDescent="0.25">
      <c r="A23" t="s">
        <v>6</v>
      </c>
      <c r="B23" t="s">
        <v>92</v>
      </c>
      <c r="C23" s="1">
        <v>891330.29</v>
      </c>
    </row>
    <row r="24" spans="1:3" x14ac:dyDescent="0.25">
      <c r="A24" t="s">
        <v>6</v>
      </c>
      <c r="B24" t="s">
        <v>93</v>
      </c>
      <c r="C24" s="1">
        <v>1076431.6499999999</v>
      </c>
    </row>
    <row r="25" spans="1:3" x14ac:dyDescent="0.25">
      <c r="A25" t="s">
        <v>6</v>
      </c>
      <c r="B25" t="s">
        <v>36</v>
      </c>
      <c r="C25" s="1">
        <v>291515644.75</v>
      </c>
    </row>
    <row r="26" spans="1:3" x14ac:dyDescent="0.25">
      <c r="A26" t="s">
        <v>6</v>
      </c>
      <c r="B26" t="s">
        <v>37</v>
      </c>
      <c r="C26" s="1">
        <v>291315422.08999997</v>
      </c>
    </row>
    <row r="27" spans="1:3" x14ac:dyDescent="0.25">
      <c r="A27" t="s">
        <v>6</v>
      </c>
      <c r="B27" t="s">
        <v>38</v>
      </c>
      <c r="C27" s="1">
        <v>153789815.22999999</v>
      </c>
    </row>
    <row r="28" spans="1:3" x14ac:dyDescent="0.25">
      <c r="A28" t="s">
        <v>6</v>
      </c>
      <c r="B28" t="s">
        <v>39</v>
      </c>
      <c r="C28" s="1">
        <v>83445856.079999998</v>
      </c>
    </row>
    <row r="29" spans="1:3" x14ac:dyDescent="0.25">
      <c r="A29" t="s">
        <v>6</v>
      </c>
      <c r="B29" t="s">
        <v>40</v>
      </c>
      <c r="C29" s="1">
        <v>80348331.269999996</v>
      </c>
    </row>
    <row r="30" spans="1:3" x14ac:dyDescent="0.25">
      <c r="A30" t="s">
        <v>6</v>
      </c>
      <c r="B30" t="s">
        <v>41</v>
      </c>
      <c r="C30" s="1">
        <v>3097524.81</v>
      </c>
    </row>
    <row r="31" spans="1:3" x14ac:dyDescent="0.25">
      <c r="A31" t="s">
        <v>6</v>
      </c>
      <c r="B31" t="s">
        <v>122</v>
      </c>
      <c r="C31" s="1">
        <v>13221.24</v>
      </c>
    </row>
    <row r="32" spans="1:3" x14ac:dyDescent="0.25">
      <c r="A32" t="s">
        <v>6</v>
      </c>
      <c r="B32" t="s">
        <v>123</v>
      </c>
      <c r="C32" s="1">
        <v>13221.24</v>
      </c>
    </row>
    <row r="33" spans="1:3" x14ac:dyDescent="0.25">
      <c r="A33" t="s">
        <v>6</v>
      </c>
      <c r="B33" t="s">
        <v>43</v>
      </c>
      <c r="C33" s="1">
        <v>853395.28</v>
      </c>
    </row>
    <row r="34" spans="1:3" x14ac:dyDescent="0.25">
      <c r="A34" t="s">
        <v>6</v>
      </c>
      <c r="B34" t="s">
        <v>100</v>
      </c>
      <c r="C34" s="1">
        <v>853395.28</v>
      </c>
    </row>
    <row r="35" spans="1:3" x14ac:dyDescent="0.25">
      <c r="A35" t="s">
        <v>6</v>
      </c>
      <c r="B35" t="s">
        <v>46</v>
      </c>
      <c r="C35" s="1">
        <v>61804766.890000001</v>
      </c>
    </row>
    <row r="36" spans="1:3" x14ac:dyDescent="0.25">
      <c r="A36" t="s">
        <v>6</v>
      </c>
      <c r="B36" t="s">
        <v>101</v>
      </c>
      <c r="C36" s="1">
        <v>2544623.2799999998</v>
      </c>
    </row>
    <row r="37" spans="1:3" x14ac:dyDescent="0.25">
      <c r="A37" t="s">
        <v>6</v>
      </c>
      <c r="B37" t="s">
        <v>102</v>
      </c>
      <c r="C37" s="1">
        <v>4891427.8899999997</v>
      </c>
    </row>
    <row r="38" spans="1:3" x14ac:dyDescent="0.25">
      <c r="A38" t="s">
        <v>6</v>
      </c>
      <c r="B38" t="s">
        <v>47</v>
      </c>
      <c r="C38" s="1">
        <v>236524.57</v>
      </c>
    </row>
    <row r="39" spans="1:3" x14ac:dyDescent="0.25">
      <c r="A39" t="s">
        <v>6</v>
      </c>
      <c r="B39" t="s">
        <v>49</v>
      </c>
      <c r="C39" s="1">
        <v>75186178.920000002</v>
      </c>
    </row>
    <row r="40" spans="1:3" x14ac:dyDescent="0.25">
      <c r="A40" t="s">
        <v>6</v>
      </c>
      <c r="B40" t="s">
        <v>50</v>
      </c>
      <c r="C40" s="1">
        <v>73372111.219999999</v>
      </c>
    </row>
    <row r="41" spans="1:3" x14ac:dyDescent="0.25">
      <c r="A41" t="s">
        <v>6</v>
      </c>
      <c r="B41" t="s">
        <v>51</v>
      </c>
      <c r="C41" s="1">
        <v>60643607.719999999</v>
      </c>
    </row>
    <row r="42" spans="1:3" x14ac:dyDescent="0.25">
      <c r="A42" t="s">
        <v>6</v>
      </c>
      <c r="B42" t="s">
        <v>52</v>
      </c>
      <c r="C42" s="1">
        <v>11786644.59</v>
      </c>
    </row>
    <row r="43" spans="1:3" x14ac:dyDescent="0.25">
      <c r="A43" t="s">
        <v>6</v>
      </c>
      <c r="B43" t="s">
        <v>53</v>
      </c>
      <c r="C43" s="1">
        <v>681925.84</v>
      </c>
    </row>
    <row r="44" spans="1:3" x14ac:dyDescent="0.25">
      <c r="A44" t="s">
        <v>6</v>
      </c>
      <c r="B44" t="s">
        <v>54</v>
      </c>
      <c r="C44" s="1">
        <v>74772.89</v>
      </c>
    </row>
    <row r="45" spans="1:3" x14ac:dyDescent="0.25">
      <c r="A45" t="s">
        <v>6</v>
      </c>
      <c r="B45" t="s">
        <v>55</v>
      </c>
      <c r="C45" s="1">
        <v>185160.18</v>
      </c>
    </row>
    <row r="46" spans="1:3" x14ac:dyDescent="0.25">
      <c r="A46" t="s">
        <v>6</v>
      </c>
      <c r="B46" t="s">
        <v>103</v>
      </c>
      <c r="C46" s="1">
        <v>1183475</v>
      </c>
    </row>
    <row r="47" spans="1:3" x14ac:dyDescent="0.25">
      <c r="A47" t="s">
        <v>6</v>
      </c>
      <c r="B47" t="s">
        <v>124</v>
      </c>
      <c r="C47" s="1">
        <v>630592.69999999995</v>
      </c>
    </row>
    <row r="48" spans="1:3" x14ac:dyDescent="0.25">
      <c r="A48" t="s">
        <v>6</v>
      </c>
      <c r="B48" t="s">
        <v>56</v>
      </c>
      <c r="C48" s="1">
        <v>62339427.939999998</v>
      </c>
    </row>
    <row r="49" spans="1:8" x14ac:dyDescent="0.25">
      <c r="A49" t="s">
        <v>6</v>
      </c>
      <c r="B49" t="s">
        <v>57</v>
      </c>
      <c r="C49" s="1">
        <v>44535256.939999998</v>
      </c>
      <c r="H49" s="1">
        <f>SUM(C49:C50)</f>
        <v>62339427.939999998</v>
      </c>
    </row>
    <row r="50" spans="1:8" x14ac:dyDescent="0.25">
      <c r="A50" t="s">
        <v>6</v>
      </c>
      <c r="B50" t="s">
        <v>58</v>
      </c>
      <c r="C50" s="1">
        <v>17804171</v>
      </c>
    </row>
    <row r="51" spans="1:8" x14ac:dyDescent="0.25">
      <c r="A51" t="s">
        <v>6</v>
      </c>
      <c r="B51" t="s">
        <v>59</v>
      </c>
      <c r="C51" s="1">
        <v>200222.66</v>
      </c>
    </row>
    <row r="52" spans="1:8" x14ac:dyDescent="0.25">
      <c r="A52" t="s">
        <v>6</v>
      </c>
      <c r="B52" t="s">
        <v>105</v>
      </c>
      <c r="C52" s="1">
        <v>27874</v>
      </c>
    </row>
    <row r="53" spans="1:8" x14ac:dyDescent="0.25">
      <c r="A53" t="s">
        <v>6</v>
      </c>
      <c r="B53" t="s">
        <v>125</v>
      </c>
      <c r="C53" s="1">
        <v>27874</v>
      </c>
    </row>
    <row r="54" spans="1:8" x14ac:dyDescent="0.25">
      <c r="A54" t="s">
        <v>6</v>
      </c>
      <c r="B54" t="s">
        <v>126</v>
      </c>
      <c r="C54" s="1">
        <v>172348.66</v>
      </c>
    </row>
    <row r="55" spans="1:8" x14ac:dyDescent="0.25">
      <c r="A55" t="s">
        <v>6</v>
      </c>
      <c r="B55" t="s">
        <v>127</v>
      </c>
      <c r="C55" s="1">
        <v>172348.66</v>
      </c>
    </row>
    <row r="56" spans="1:8" x14ac:dyDescent="0.25">
      <c r="A56" t="s">
        <v>6</v>
      </c>
      <c r="B56" t="s">
        <v>63</v>
      </c>
      <c r="C56" s="1">
        <v>7257985.96</v>
      </c>
    </row>
    <row r="57" spans="1:8" x14ac:dyDescent="0.25">
      <c r="A57" t="s">
        <v>6</v>
      </c>
      <c r="B57" t="s">
        <v>64</v>
      </c>
      <c r="C57" s="1">
        <v>2442273.73</v>
      </c>
    </row>
    <row r="58" spans="1:8" x14ac:dyDescent="0.25">
      <c r="A58" t="s">
        <v>6</v>
      </c>
      <c r="B58" t="s">
        <v>65</v>
      </c>
      <c r="C58" s="1">
        <v>813931.69</v>
      </c>
    </row>
    <row r="59" spans="1:8" x14ac:dyDescent="0.25">
      <c r="A59" t="s">
        <v>6</v>
      </c>
      <c r="B59" t="s">
        <v>128</v>
      </c>
      <c r="C59" s="1">
        <v>95289.65</v>
      </c>
    </row>
    <row r="60" spans="1:8" x14ac:dyDescent="0.25">
      <c r="A60" t="s">
        <v>6</v>
      </c>
      <c r="B60" t="s">
        <v>129</v>
      </c>
      <c r="C60" s="1">
        <v>22333.200000000001</v>
      </c>
    </row>
    <row r="61" spans="1:8" x14ac:dyDescent="0.25">
      <c r="A61" t="s">
        <v>6</v>
      </c>
      <c r="B61" t="s">
        <v>130</v>
      </c>
      <c r="C61" s="1">
        <v>388717.46</v>
      </c>
    </row>
    <row r="62" spans="1:8" x14ac:dyDescent="0.25">
      <c r="A62" t="s">
        <v>6</v>
      </c>
      <c r="B62" t="s">
        <v>131</v>
      </c>
      <c r="C62" s="1">
        <v>307591.38</v>
      </c>
    </row>
    <row r="63" spans="1:8" x14ac:dyDescent="0.25">
      <c r="A63" t="s">
        <v>6</v>
      </c>
      <c r="B63" t="s">
        <v>66</v>
      </c>
      <c r="C63" s="1">
        <v>1620022.04</v>
      </c>
    </row>
    <row r="64" spans="1:8" x14ac:dyDescent="0.25">
      <c r="A64" t="s">
        <v>6</v>
      </c>
      <c r="B64" t="s">
        <v>132</v>
      </c>
      <c r="C64" s="1">
        <v>1467677.57</v>
      </c>
    </row>
    <row r="65" spans="1:3" x14ac:dyDescent="0.25">
      <c r="A65" t="s">
        <v>6</v>
      </c>
      <c r="B65" t="s">
        <v>133</v>
      </c>
      <c r="C65" s="1">
        <v>67942.210000000006</v>
      </c>
    </row>
    <row r="66" spans="1:3" x14ac:dyDescent="0.25">
      <c r="A66" t="s">
        <v>6</v>
      </c>
      <c r="B66" t="s">
        <v>134</v>
      </c>
      <c r="C66" s="1">
        <v>84402.26</v>
      </c>
    </row>
    <row r="67" spans="1:3" x14ac:dyDescent="0.25">
      <c r="A67" t="s">
        <v>6</v>
      </c>
      <c r="B67" t="s">
        <v>67</v>
      </c>
      <c r="C67" s="1">
        <v>8320</v>
      </c>
    </row>
    <row r="68" spans="1:3" x14ac:dyDescent="0.25">
      <c r="A68" t="s">
        <v>6</v>
      </c>
      <c r="B68" t="s">
        <v>68</v>
      </c>
      <c r="C68" s="1">
        <v>364073.46</v>
      </c>
    </row>
    <row r="69" spans="1:3" x14ac:dyDescent="0.25">
      <c r="A69" t="s">
        <v>6</v>
      </c>
      <c r="B69" t="s">
        <v>70</v>
      </c>
      <c r="C69" s="1">
        <v>364073.46</v>
      </c>
    </row>
    <row r="70" spans="1:3" x14ac:dyDescent="0.25">
      <c r="A70" t="s">
        <v>6</v>
      </c>
      <c r="B70" t="s">
        <v>71</v>
      </c>
      <c r="C70" s="1">
        <v>364073.46</v>
      </c>
    </row>
    <row r="71" spans="1:3" x14ac:dyDescent="0.25">
      <c r="A71" t="s">
        <v>6</v>
      </c>
      <c r="B71" t="s">
        <v>72</v>
      </c>
      <c r="C71" s="1">
        <v>2418712.21</v>
      </c>
    </row>
    <row r="72" spans="1:3" x14ac:dyDescent="0.25">
      <c r="A72" t="s">
        <v>6</v>
      </c>
      <c r="B72" t="s">
        <v>73</v>
      </c>
      <c r="C72" s="1">
        <v>2406905.08</v>
      </c>
    </row>
    <row r="73" spans="1:3" x14ac:dyDescent="0.25">
      <c r="A73" t="s">
        <v>6</v>
      </c>
      <c r="B73" t="s">
        <v>135</v>
      </c>
      <c r="C73" s="1">
        <v>2120147.0499999998</v>
      </c>
    </row>
    <row r="74" spans="1:3" x14ac:dyDescent="0.25">
      <c r="A74" t="s">
        <v>6</v>
      </c>
      <c r="B74" t="s">
        <v>136</v>
      </c>
      <c r="C74" s="1">
        <v>102781.31</v>
      </c>
    </row>
    <row r="75" spans="1:3" x14ac:dyDescent="0.25">
      <c r="A75" t="s">
        <v>6</v>
      </c>
      <c r="B75" t="s">
        <v>137</v>
      </c>
      <c r="C75" s="1">
        <v>183976.72</v>
      </c>
    </row>
    <row r="76" spans="1:3" x14ac:dyDescent="0.25">
      <c r="A76" t="s">
        <v>6</v>
      </c>
      <c r="B76" t="s">
        <v>111</v>
      </c>
      <c r="C76" s="1">
        <v>11807.13</v>
      </c>
    </row>
    <row r="77" spans="1:3" x14ac:dyDescent="0.25">
      <c r="A77" t="s">
        <v>6</v>
      </c>
      <c r="B77" t="s">
        <v>74</v>
      </c>
      <c r="C77" s="1">
        <v>2032926.56</v>
      </c>
    </row>
    <row r="78" spans="1:3" x14ac:dyDescent="0.25">
      <c r="A78" t="s">
        <v>6</v>
      </c>
      <c r="B78" t="s">
        <v>75</v>
      </c>
      <c r="C78" s="1">
        <v>1797244.13</v>
      </c>
    </row>
    <row r="79" spans="1:3" x14ac:dyDescent="0.25">
      <c r="A79" t="s">
        <v>6</v>
      </c>
      <c r="B79" t="s">
        <v>78</v>
      </c>
      <c r="C79" s="1">
        <v>1797244.13</v>
      </c>
    </row>
    <row r="80" spans="1:3" x14ac:dyDescent="0.25">
      <c r="A80" t="s">
        <v>6</v>
      </c>
      <c r="B80" t="s">
        <v>79</v>
      </c>
      <c r="C80" s="1">
        <v>1681800</v>
      </c>
    </row>
    <row r="81" spans="1:3" x14ac:dyDescent="0.25">
      <c r="A81" t="s">
        <v>6</v>
      </c>
      <c r="B81" t="s">
        <v>80</v>
      </c>
      <c r="C81" s="1">
        <v>1681800</v>
      </c>
    </row>
    <row r="82" spans="1:3" x14ac:dyDescent="0.25">
      <c r="A82" t="s">
        <v>6</v>
      </c>
      <c r="B82" t="s">
        <v>138</v>
      </c>
      <c r="C82" s="1">
        <v>1681800</v>
      </c>
    </row>
    <row r="83" spans="1:3" x14ac:dyDescent="0.25">
      <c r="A83" t="s">
        <v>6</v>
      </c>
      <c r="B83" t="s">
        <v>82</v>
      </c>
      <c r="C83" s="1">
        <v>115444.13</v>
      </c>
    </row>
    <row r="84" spans="1:3" x14ac:dyDescent="0.25">
      <c r="A84" t="s">
        <v>6</v>
      </c>
      <c r="B84" t="s">
        <v>83</v>
      </c>
      <c r="C84" s="1">
        <v>115444.13</v>
      </c>
    </row>
    <row r="85" spans="1:3" x14ac:dyDescent="0.25">
      <c r="A85" t="s">
        <v>6</v>
      </c>
      <c r="B85" t="s">
        <v>139</v>
      </c>
      <c r="C85" s="1">
        <v>50000</v>
      </c>
    </row>
    <row r="86" spans="1:3" x14ac:dyDescent="0.25">
      <c r="A86" t="s">
        <v>6</v>
      </c>
      <c r="B86" t="s">
        <v>84</v>
      </c>
      <c r="C86" s="1">
        <v>65444.13</v>
      </c>
    </row>
  </sheetData>
  <autoFilter ref="A4:H86"/>
  <pageMargins left="0.511811024" right="0.511811024" top="0.78740157499999996" bottom="0.78740157499999996" header="0.31496062000000002" footer="0.31496062000000002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workbookViewId="0">
      <selection activeCell="C5" sqref="C5"/>
    </sheetView>
  </sheetViews>
  <sheetFormatPr defaultRowHeight="15" x14ac:dyDescent="0.25"/>
  <cols>
    <col min="1" max="1" width="35.28515625" customWidth="1"/>
    <col min="2" max="2" width="101.5703125" customWidth="1"/>
    <col min="3" max="3" width="19.5703125" style="1" bestFit="1" customWidth="1"/>
    <col min="5" max="5" width="17.42578125" bestFit="1" customWidth="1"/>
    <col min="6" max="6" width="19.5703125" bestFit="1" customWidth="1"/>
  </cols>
  <sheetData>
    <row r="1" spans="1:6" x14ac:dyDescent="0.25">
      <c r="A1" t="s">
        <v>120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s="1" t="s">
        <v>5</v>
      </c>
    </row>
    <row r="5" spans="1:6" x14ac:dyDescent="0.25">
      <c r="A5" t="s">
        <v>85</v>
      </c>
      <c r="B5" t="s">
        <v>7</v>
      </c>
      <c r="C5" s="1">
        <v>1105490445.1700001</v>
      </c>
    </row>
    <row r="6" spans="1:6" x14ac:dyDescent="0.25">
      <c r="A6" t="s">
        <v>85</v>
      </c>
      <c r="B6" t="s">
        <v>8</v>
      </c>
      <c r="C6" s="1">
        <v>1023281654.6900001</v>
      </c>
      <c r="E6" t="s">
        <v>7</v>
      </c>
      <c r="F6" s="1">
        <v>1105490445.1700001</v>
      </c>
    </row>
    <row r="7" spans="1:6" x14ac:dyDescent="0.25">
      <c r="A7" t="s">
        <v>85</v>
      </c>
      <c r="B7" t="s">
        <v>10</v>
      </c>
      <c r="C7" s="1">
        <v>255281793.66</v>
      </c>
      <c r="E7" t="s">
        <v>9</v>
      </c>
      <c r="F7" s="1">
        <v>255281793.66</v>
      </c>
    </row>
    <row r="8" spans="1:6" x14ac:dyDescent="0.25">
      <c r="A8" t="s">
        <v>85</v>
      </c>
      <c r="B8" t="s">
        <v>12</v>
      </c>
      <c r="C8" s="1">
        <v>235479186.21000001</v>
      </c>
      <c r="E8" t="s">
        <v>11</v>
      </c>
      <c r="F8" s="1">
        <v>65046652.049999997</v>
      </c>
    </row>
    <row r="9" spans="1:6" x14ac:dyDescent="0.25">
      <c r="A9" t="s">
        <v>85</v>
      </c>
      <c r="B9" t="s">
        <v>14</v>
      </c>
      <c r="C9" s="1">
        <v>112162151.73999999</v>
      </c>
      <c r="E9" t="s">
        <v>13</v>
      </c>
      <c r="F9" s="1">
        <v>16577948.310000001</v>
      </c>
    </row>
    <row r="10" spans="1:6" x14ac:dyDescent="0.25">
      <c r="A10" t="s">
        <v>85</v>
      </c>
      <c r="B10" t="s">
        <v>16</v>
      </c>
      <c r="C10" s="1">
        <v>65046652.049999997</v>
      </c>
      <c r="E10" t="s">
        <v>15</v>
      </c>
      <c r="F10" s="1">
        <v>123317034.47</v>
      </c>
    </row>
    <row r="11" spans="1:6" x14ac:dyDescent="0.25">
      <c r="A11" t="s">
        <v>85</v>
      </c>
      <c r="B11" t="s">
        <v>18</v>
      </c>
      <c r="C11" s="1">
        <v>30537551.379999999</v>
      </c>
      <c r="E11" t="s">
        <v>121</v>
      </c>
      <c r="F11" s="1">
        <v>665048854.70000005</v>
      </c>
    </row>
    <row r="12" spans="1:6" x14ac:dyDescent="0.25">
      <c r="A12" t="s">
        <v>85</v>
      </c>
      <c r="B12" t="s">
        <v>20</v>
      </c>
      <c r="C12" s="1">
        <v>26685223.07</v>
      </c>
      <c r="E12" t="s">
        <v>19</v>
      </c>
      <c r="F12" s="1">
        <v>82891929.810000002</v>
      </c>
    </row>
    <row r="13" spans="1:6" x14ac:dyDescent="0.25">
      <c r="A13" t="s">
        <v>85</v>
      </c>
      <c r="B13" t="s">
        <v>22</v>
      </c>
      <c r="C13" s="1">
        <v>3852328.31</v>
      </c>
      <c r="E13" t="s">
        <v>21</v>
      </c>
      <c r="F13" s="1">
        <v>393506101.31</v>
      </c>
    </row>
    <row r="14" spans="1:6" x14ac:dyDescent="0.25">
      <c r="A14" t="s">
        <v>85</v>
      </c>
      <c r="B14" t="s">
        <v>24</v>
      </c>
      <c r="C14" s="1">
        <v>16577948.310000001</v>
      </c>
      <c r="E14" t="s">
        <v>23</v>
      </c>
      <c r="F14" s="1">
        <v>109577062.45</v>
      </c>
    </row>
    <row r="15" spans="1:6" x14ac:dyDescent="0.25">
      <c r="A15" t="s">
        <v>85</v>
      </c>
      <c r="B15" t="s">
        <v>26</v>
      </c>
      <c r="C15" s="1">
        <v>123317034.47</v>
      </c>
      <c r="E15" t="s">
        <v>25</v>
      </c>
      <c r="F15" s="1">
        <v>25357510.129999999</v>
      </c>
    </row>
    <row r="16" spans="1:6" x14ac:dyDescent="0.25">
      <c r="A16" t="s">
        <v>85</v>
      </c>
      <c r="B16" t="s">
        <v>27</v>
      </c>
      <c r="C16" s="1">
        <v>123317034.47</v>
      </c>
    </row>
    <row r="17" spans="1:3" x14ac:dyDescent="0.25">
      <c r="A17" t="s">
        <v>85</v>
      </c>
      <c r="B17" t="s">
        <v>28</v>
      </c>
      <c r="C17" s="1">
        <v>19802607.449999999</v>
      </c>
    </row>
    <row r="18" spans="1:3" x14ac:dyDescent="0.25">
      <c r="A18" t="s">
        <v>85</v>
      </c>
      <c r="B18" t="s">
        <v>29</v>
      </c>
      <c r="C18" s="1">
        <v>8007448.6600000001</v>
      </c>
    </row>
    <row r="19" spans="1:3" x14ac:dyDescent="0.25">
      <c r="A19" t="s">
        <v>85</v>
      </c>
      <c r="B19" t="s">
        <v>30</v>
      </c>
      <c r="C19" s="1">
        <v>11795158.789999999</v>
      </c>
    </row>
    <row r="20" spans="1:3" x14ac:dyDescent="0.25">
      <c r="A20" t="s">
        <v>85</v>
      </c>
      <c r="B20" t="s">
        <v>31</v>
      </c>
      <c r="C20" s="1">
        <v>48136900.380000003</v>
      </c>
    </row>
    <row r="21" spans="1:3" x14ac:dyDescent="0.25">
      <c r="A21" t="s">
        <v>85</v>
      </c>
      <c r="B21" t="s">
        <v>86</v>
      </c>
      <c r="C21" s="1">
        <v>34644950.479999997</v>
      </c>
    </row>
    <row r="22" spans="1:3" x14ac:dyDescent="0.25">
      <c r="A22" t="s">
        <v>85</v>
      </c>
      <c r="B22" t="s">
        <v>87</v>
      </c>
      <c r="C22" s="1">
        <v>25352979.199999999</v>
      </c>
    </row>
    <row r="23" spans="1:3" x14ac:dyDescent="0.25">
      <c r="A23" t="s">
        <v>85</v>
      </c>
      <c r="B23" t="s">
        <v>88</v>
      </c>
      <c r="C23" s="1">
        <v>24244848</v>
      </c>
    </row>
    <row r="24" spans="1:3" x14ac:dyDescent="0.25">
      <c r="A24" t="s">
        <v>85</v>
      </c>
      <c r="B24" t="s">
        <v>89</v>
      </c>
      <c r="C24" s="1">
        <v>1058362.07</v>
      </c>
    </row>
    <row r="25" spans="1:3" x14ac:dyDescent="0.25">
      <c r="A25" t="s">
        <v>85</v>
      </c>
      <c r="B25" t="s">
        <v>140</v>
      </c>
      <c r="C25" s="1">
        <v>49769.13</v>
      </c>
    </row>
    <row r="26" spans="1:3" x14ac:dyDescent="0.25">
      <c r="A26" t="s">
        <v>85</v>
      </c>
      <c r="B26" t="s">
        <v>91</v>
      </c>
      <c r="C26" s="1">
        <v>9291971.2799999993</v>
      </c>
    </row>
    <row r="27" spans="1:3" x14ac:dyDescent="0.25">
      <c r="A27" t="s">
        <v>85</v>
      </c>
      <c r="B27" t="s">
        <v>32</v>
      </c>
      <c r="C27" s="1">
        <v>13491949.9</v>
      </c>
    </row>
    <row r="28" spans="1:3" x14ac:dyDescent="0.25">
      <c r="A28" t="s">
        <v>85</v>
      </c>
      <c r="B28" t="s">
        <v>33</v>
      </c>
      <c r="C28" s="1">
        <v>29716544.43</v>
      </c>
    </row>
    <row r="29" spans="1:3" x14ac:dyDescent="0.25">
      <c r="A29" t="s">
        <v>85</v>
      </c>
      <c r="B29" t="s">
        <v>34</v>
      </c>
      <c r="C29" s="1">
        <v>29716544.43</v>
      </c>
    </row>
    <row r="30" spans="1:3" x14ac:dyDescent="0.25">
      <c r="A30" t="s">
        <v>85</v>
      </c>
      <c r="B30" t="s">
        <v>92</v>
      </c>
      <c r="C30" s="1">
        <v>12442.91</v>
      </c>
    </row>
    <row r="31" spans="1:3" x14ac:dyDescent="0.25">
      <c r="A31" t="s">
        <v>85</v>
      </c>
      <c r="B31" t="s">
        <v>93</v>
      </c>
      <c r="C31" s="1">
        <v>11599942.310000001</v>
      </c>
    </row>
    <row r="32" spans="1:3" x14ac:dyDescent="0.25">
      <c r="A32" t="s">
        <v>85</v>
      </c>
      <c r="B32" t="s">
        <v>94</v>
      </c>
      <c r="C32" s="1">
        <v>18104159.210000001</v>
      </c>
    </row>
    <row r="33" spans="1:3" x14ac:dyDescent="0.25">
      <c r="A33" t="s">
        <v>85</v>
      </c>
      <c r="B33" t="s">
        <v>95</v>
      </c>
      <c r="C33" s="1">
        <v>6252157.5300000003</v>
      </c>
    </row>
    <row r="34" spans="1:3" x14ac:dyDescent="0.25">
      <c r="A34" t="s">
        <v>85</v>
      </c>
      <c r="B34" t="s">
        <v>96</v>
      </c>
      <c r="C34" s="1">
        <v>28095.24</v>
      </c>
    </row>
    <row r="35" spans="1:3" x14ac:dyDescent="0.25">
      <c r="A35" t="s">
        <v>85</v>
      </c>
      <c r="B35" t="s">
        <v>141</v>
      </c>
      <c r="C35" s="1">
        <v>4634240.46</v>
      </c>
    </row>
    <row r="36" spans="1:3" x14ac:dyDescent="0.25">
      <c r="A36" t="s">
        <v>85</v>
      </c>
      <c r="B36" t="s">
        <v>142</v>
      </c>
      <c r="C36" s="1">
        <v>1589821.83</v>
      </c>
    </row>
    <row r="37" spans="1:3" x14ac:dyDescent="0.25">
      <c r="A37" t="s">
        <v>85</v>
      </c>
      <c r="B37" t="s">
        <v>36</v>
      </c>
      <c r="C37" s="1">
        <v>665048854.70000005</v>
      </c>
    </row>
    <row r="38" spans="1:3" x14ac:dyDescent="0.25">
      <c r="A38" t="s">
        <v>85</v>
      </c>
      <c r="B38" t="s">
        <v>37</v>
      </c>
      <c r="C38" s="1">
        <v>665048854.70000005</v>
      </c>
    </row>
    <row r="39" spans="1:3" x14ac:dyDescent="0.25">
      <c r="A39" t="s">
        <v>85</v>
      </c>
      <c r="B39" t="s">
        <v>38</v>
      </c>
      <c r="C39" s="1">
        <v>137598093.72</v>
      </c>
    </row>
    <row r="40" spans="1:3" x14ac:dyDescent="0.25">
      <c r="A40" t="s">
        <v>85</v>
      </c>
      <c r="B40" t="s">
        <v>39</v>
      </c>
      <c r="C40" s="1">
        <v>82998519.180000007</v>
      </c>
    </row>
    <row r="41" spans="1:3" x14ac:dyDescent="0.25">
      <c r="A41" t="s">
        <v>85</v>
      </c>
      <c r="B41" t="s">
        <v>40</v>
      </c>
      <c r="C41" s="1">
        <v>82891929.810000002</v>
      </c>
    </row>
    <row r="42" spans="1:3" x14ac:dyDescent="0.25">
      <c r="A42" t="s">
        <v>85</v>
      </c>
      <c r="B42" t="s">
        <v>41</v>
      </c>
      <c r="C42" s="1">
        <v>106589.37</v>
      </c>
    </row>
    <row r="43" spans="1:3" x14ac:dyDescent="0.25">
      <c r="A43" t="s">
        <v>85</v>
      </c>
      <c r="B43" t="s">
        <v>43</v>
      </c>
      <c r="C43" s="1">
        <v>6362067.8399999999</v>
      </c>
    </row>
    <row r="44" spans="1:3" x14ac:dyDescent="0.25">
      <c r="A44" t="s">
        <v>85</v>
      </c>
      <c r="B44" t="s">
        <v>98</v>
      </c>
      <c r="C44" s="1">
        <v>32916.69</v>
      </c>
    </row>
    <row r="45" spans="1:3" x14ac:dyDescent="0.25">
      <c r="A45" t="s">
        <v>85</v>
      </c>
      <c r="B45" t="s">
        <v>99</v>
      </c>
      <c r="C45" s="1">
        <v>5448739.8200000003</v>
      </c>
    </row>
    <row r="46" spans="1:3" x14ac:dyDescent="0.25">
      <c r="A46" t="s">
        <v>85</v>
      </c>
      <c r="B46" t="s">
        <v>100</v>
      </c>
      <c r="C46" s="1">
        <v>880411.33</v>
      </c>
    </row>
    <row r="47" spans="1:3" x14ac:dyDescent="0.25">
      <c r="A47" t="s">
        <v>85</v>
      </c>
      <c r="B47" t="s">
        <v>46</v>
      </c>
      <c r="C47" s="1">
        <v>34340071.219999999</v>
      </c>
    </row>
    <row r="48" spans="1:3" x14ac:dyDescent="0.25">
      <c r="A48" t="s">
        <v>85</v>
      </c>
      <c r="B48" t="s">
        <v>101</v>
      </c>
      <c r="C48" s="1">
        <v>1508369.65</v>
      </c>
    </row>
    <row r="49" spans="1:3" x14ac:dyDescent="0.25">
      <c r="A49" t="s">
        <v>85</v>
      </c>
      <c r="B49" t="s">
        <v>102</v>
      </c>
      <c r="C49" s="1">
        <v>8877662.4800000004</v>
      </c>
    </row>
    <row r="50" spans="1:3" x14ac:dyDescent="0.25">
      <c r="A50" t="s">
        <v>85</v>
      </c>
      <c r="B50" t="s">
        <v>47</v>
      </c>
      <c r="C50" s="1">
        <v>1535307.11</v>
      </c>
    </row>
    <row r="51" spans="1:3" x14ac:dyDescent="0.25">
      <c r="A51" t="s">
        <v>85</v>
      </c>
      <c r="B51" t="s">
        <v>48</v>
      </c>
      <c r="C51" s="1">
        <v>1976096.24</v>
      </c>
    </row>
    <row r="52" spans="1:3" x14ac:dyDescent="0.25">
      <c r="A52" t="s">
        <v>85</v>
      </c>
      <c r="B52" t="s">
        <v>49</v>
      </c>
      <c r="C52" s="1">
        <v>417873698.52999997</v>
      </c>
    </row>
    <row r="53" spans="1:3" x14ac:dyDescent="0.25">
      <c r="A53" t="s">
        <v>85</v>
      </c>
      <c r="B53" t="s">
        <v>50</v>
      </c>
      <c r="C53" s="1">
        <v>414490022.05000001</v>
      </c>
    </row>
    <row r="54" spans="1:3" x14ac:dyDescent="0.25">
      <c r="A54" t="s">
        <v>85</v>
      </c>
      <c r="B54" t="s">
        <v>51</v>
      </c>
      <c r="C54" s="1">
        <v>393506101.31</v>
      </c>
    </row>
    <row r="55" spans="1:3" x14ac:dyDescent="0.25">
      <c r="A55" t="s">
        <v>85</v>
      </c>
      <c r="B55" t="s">
        <v>52</v>
      </c>
      <c r="C55" s="1">
        <v>16448262.880000001</v>
      </c>
    </row>
    <row r="56" spans="1:3" x14ac:dyDescent="0.25">
      <c r="A56" t="s">
        <v>85</v>
      </c>
      <c r="B56" t="s">
        <v>53</v>
      </c>
      <c r="C56" s="1">
        <v>4426455.26</v>
      </c>
    </row>
    <row r="57" spans="1:3" x14ac:dyDescent="0.25">
      <c r="A57" t="s">
        <v>85</v>
      </c>
      <c r="B57" t="s">
        <v>54</v>
      </c>
      <c r="C57" s="1">
        <v>109202.6</v>
      </c>
    </row>
    <row r="58" spans="1:3" x14ac:dyDescent="0.25">
      <c r="A58" t="s">
        <v>85</v>
      </c>
      <c r="B58" t="s">
        <v>103</v>
      </c>
      <c r="C58" s="1">
        <v>1743787.5</v>
      </c>
    </row>
    <row r="59" spans="1:3" x14ac:dyDescent="0.25">
      <c r="A59" t="s">
        <v>85</v>
      </c>
      <c r="B59" t="s">
        <v>124</v>
      </c>
      <c r="C59" s="1">
        <v>1639888.98</v>
      </c>
    </row>
    <row r="60" spans="1:3" x14ac:dyDescent="0.25">
      <c r="A60" t="s">
        <v>85</v>
      </c>
      <c r="B60" t="s">
        <v>56</v>
      </c>
      <c r="C60" s="1">
        <v>109577062.45</v>
      </c>
    </row>
    <row r="61" spans="1:3" x14ac:dyDescent="0.25">
      <c r="A61" t="s">
        <v>85</v>
      </c>
      <c r="B61" t="s">
        <v>57</v>
      </c>
      <c r="C61" s="1">
        <v>109577062.45</v>
      </c>
    </row>
    <row r="62" spans="1:3" x14ac:dyDescent="0.25">
      <c r="A62" t="s">
        <v>85</v>
      </c>
      <c r="B62" t="s">
        <v>63</v>
      </c>
      <c r="C62" s="1">
        <v>18845403.989999998</v>
      </c>
    </row>
    <row r="63" spans="1:3" x14ac:dyDescent="0.25">
      <c r="A63" t="s">
        <v>85</v>
      </c>
      <c r="B63" t="s">
        <v>64</v>
      </c>
      <c r="C63" s="1">
        <v>12265627.68</v>
      </c>
    </row>
    <row r="64" spans="1:3" x14ac:dyDescent="0.25">
      <c r="A64" t="s">
        <v>85</v>
      </c>
      <c r="B64" t="s">
        <v>65</v>
      </c>
      <c r="C64" s="1">
        <v>5079529.24</v>
      </c>
    </row>
    <row r="65" spans="1:3" x14ac:dyDescent="0.25">
      <c r="A65" t="s">
        <v>85</v>
      </c>
      <c r="B65" t="s">
        <v>128</v>
      </c>
      <c r="C65" s="1">
        <v>1633662.9</v>
      </c>
    </row>
    <row r="66" spans="1:3" x14ac:dyDescent="0.25">
      <c r="A66" t="s">
        <v>85</v>
      </c>
      <c r="B66" t="s">
        <v>129</v>
      </c>
      <c r="C66" s="1">
        <v>188810.78</v>
      </c>
    </row>
    <row r="67" spans="1:3" x14ac:dyDescent="0.25">
      <c r="A67" t="s">
        <v>85</v>
      </c>
      <c r="B67" t="s">
        <v>130</v>
      </c>
      <c r="C67" s="1">
        <v>2331191.41</v>
      </c>
    </row>
    <row r="68" spans="1:3" x14ac:dyDescent="0.25">
      <c r="A68" t="s">
        <v>85</v>
      </c>
      <c r="B68" t="s">
        <v>131</v>
      </c>
      <c r="C68" s="1">
        <v>925864.15</v>
      </c>
    </row>
    <row r="69" spans="1:3" x14ac:dyDescent="0.25">
      <c r="A69" t="s">
        <v>85</v>
      </c>
      <c r="B69" t="s">
        <v>107</v>
      </c>
      <c r="C69" s="1">
        <v>134566.01999999999</v>
      </c>
    </row>
    <row r="70" spans="1:3" x14ac:dyDescent="0.25">
      <c r="A70" t="s">
        <v>85</v>
      </c>
      <c r="B70" t="s">
        <v>66</v>
      </c>
      <c r="C70" s="1">
        <v>3773424.94</v>
      </c>
    </row>
    <row r="71" spans="1:3" x14ac:dyDescent="0.25">
      <c r="A71" t="s">
        <v>85</v>
      </c>
      <c r="B71" t="s">
        <v>132</v>
      </c>
      <c r="C71" s="1">
        <v>2543478.37</v>
      </c>
    </row>
    <row r="72" spans="1:3" x14ac:dyDescent="0.25">
      <c r="A72" t="s">
        <v>85</v>
      </c>
      <c r="B72" t="s">
        <v>133</v>
      </c>
      <c r="C72" s="1">
        <v>497473.81</v>
      </c>
    </row>
    <row r="73" spans="1:3" x14ac:dyDescent="0.25">
      <c r="A73" t="s">
        <v>85</v>
      </c>
      <c r="B73" t="s">
        <v>134</v>
      </c>
      <c r="C73" s="1">
        <v>732472.76</v>
      </c>
    </row>
    <row r="74" spans="1:3" x14ac:dyDescent="0.25">
      <c r="A74" t="s">
        <v>85</v>
      </c>
      <c r="B74" t="s">
        <v>108</v>
      </c>
      <c r="C74" s="1">
        <v>292632.89</v>
      </c>
    </row>
    <row r="75" spans="1:3" x14ac:dyDescent="0.25">
      <c r="A75" t="s">
        <v>85</v>
      </c>
      <c r="B75" t="s">
        <v>109</v>
      </c>
      <c r="C75" s="1">
        <v>4996.1899999999996</v>
      </c>
    </row>
    <row r="76" spans="1:3" x14ac:dyDescent="0.25">
      <c r="A76" t="s">
        <v>85</v>
      </c>
      <c r="B76" t="s">
        <v>67</v>
      </c>
      <c r="C76" s="1">
        <v>2980478.4</v>
      </c>
    </row>
    <row r="77" spans="1:3" x14ac:dyDescent="0.25">
      <c r="A77" t="s">
        <v>85</v>
      </c>
      <c r="B77" t="s">
        <v>68</v>
      </c>
      <c r="C77" s="1">
        <v>1725883.61</v>
      </c>
    </row>
    <row r="78" spans="1:3" x14ac:dyDescent="0.25">
      <c r="A78" t="s">
        <v>85</v>
      </c>
      <c r="B78" t="s">
        <v>70</v>
      </c>
      <c r="C78" s="1">
        <v>1725883.61</v>
      </c>
    </row>
    <row r="79" spans="1:3" x14ac:dyDescent="0.25">
      <c r="A79" t="s">
        <v>85</v>
      </c>
      <c r="B79" t="s">
        <v>71</v>
      </c>
      <c r="C79" s="1">
        <v>1725883.61</v>
      </c>
    </row>
    <row r="80" spans="1:3" x14ac:dyDescent="0.25">
      <c r="A80" t="s">
        <v>85</v>
      </c>
      <c r="B80" t="s">
        <v>72</v>
      </c>
      <c r="C80" s="1">
        <v>3223837.86</v>
      </c>
    </row>
    <row r="81" spans="1:3" x14ac:dyDescent="0.25">
      <c r="A81" t="s">
        <v>85</v>
      </c>
      <c r="B81" t="s">
        <v>73</v>
      </c>
      <c r="C81" s="1">
        <v>2933113.42</v>
      </c>
    </row>
    <row r="82" spans="1:3" x14ac:dyDescent="0.25">
      <c r="A82" t="s">
        <v>85</v>
      </c>
      <c r="B82" t="s">
        <v>135</v>
      </c>
      <c r="C82" s="1">
        <v>1846248.36</v>
      </c>
    </row>
    <row r="83" spans="1:3" x14ac:dyDescent="0.25">
      <c r="A83" t="s">
        <v>85</v>
      </c>
      <c r="B83" t="s">
        <v>136</v>
      </c>
      <c r="C83" s="1">
        <v>430622.99</v>
      </c>
    </row>
    <row r="84" spans="1:3" x14ac:dyDescent="0.25">
      <c r="A84" t="s">
        <v>85</v>
      </c>
      <c r="B84" t="s">
        <v>137</v>
      </c>
      <c r="C84" s="1">
        <v>656242.06999999995</v>
      </c>
    </row>
    <row r="85" spans="1:3" x14ac:dyDescent="0.25">
      <c r="A85" t="s">
        <v>85</v>
      </c>
      <c r="B85" t="s">
        <v>111</v>
      </c>
      <c r="C85" s="1">
        <v>290724.44</v>
      </c>
    </row>
    <row r="86" spans="1:3" x14ac:dyDescent="0.25">
      <c r="A86" t="s">
        <v>85</v>
      </c>
      <c r="B86" t="s">
        <v>74</v>
      </c>
      <c r="C86" s="1">
        <v>1630054.84</v>
      </c>
    </row>
    <row r="87" spans="1:3" x14ac:dyDescent="0.25">
      <c r="A87" t="s">
        <v>85</v>
      </c>
      <c r="B87" t="s">
        <v>75</v>
      </c>
      <c r="C87" s="1">
        <v>25357510.129999999</v>
      </c>
    </row>
    <row r="88" spans="1:3" x14ac:dyDescent="0.25">
      <c r="A88" t="s">
        <v>85</v>
      </c>
      <c r="B88" t="s">
        <v>143</v>
      </c>
      <c r="C88" s="1">
        <v>7707914.0599999996</v>
      </c>
    </row>
    <row r="89" spans="1:3" x14ac:dyDescent="0.25">
      <c r="A89" t="s">
        <v>85</v>
      </c>
      <c r="B89" t="s">
        <v>144</v>
      </c>
      <c r="C89" s="1">
        <v>7707914.0599999996</v>
      </c>
    </row>
    <row r="90" spans="1:3" x14ac:dyDescent="0.25">
      <c r="A90" t="s">
        <v>85</v>
      </c>
      <c r="B90" t="s">
        <v>76</v>
      </c>
      <c r="C90" s="1">
        <v>100374.9</v>
      </c>
    </row>
    <row r="91" spans="1:3" x14ac:dyDescent="0.25">
      <c r="A91" t="s">
        <v>85</v>
      </c>
      <c r="B91" t="s">
        <v>77</v>
      </c>
      <c r="C91" s="1">
        <v>91800</v>
      </c>
    </row>
    <row r="92" spans="1:3" x14ac:dyDescent="0.25">
      <c r="A92" t="s">
        <v>85</v>
      </c>
      <c r="B92" t="s">
        <v>145</v>
      </c>
      <c r="C92" s="1">
        <v>8574.9</v>
      </c>
    </row>
    <row r="93" spans="1:3" x14ac:dyDescent="0.25">
      <c r="A93" t="s">
        <v>85</v>
      </c>
      <c r="B93" t="s">
        <v>78</v>
      </c>
      <c r="C93" s="1">
        <v>17549221.170000002</v>
      </c>
    </row>
    <row r="94" spans="1:3" x14ac:dyDescent="0.25">
      <c r="A94" t="s">
        <v>85</v>
      </c>
      <c r="B94" t="s">
        <v>82</v>
      </c>
      <c r="C94" s="1">
        <v>17549221.170000002</v>
      </c>
    </row>
    <row r="95" spans="1:3" x14ac:dyDescent="0.25">
      <c r="A95" t="s">
        <v>85</v>
      </c>
      <c r="B95" t="s">
        <v>83</v>
      </c>
      <c r="C95" s="1">
        <v>17549221.170000002</v>
      </c>
    </row>
    <row r="96" spans="1:3" x14ac:dyDescent="0.25">
      <c r="A96" t="s">
        <v>85</v>
      </c>
      <c r="B96" t="s">
        <v>139</v>
      </c>
      <c r="C96" s="1">
        <v>17549221.170000002</v>
      </c>
    </row>
    <row r="97" spans="1:3" x14ac:dyDescent="0.25">
      <c r="A97" t="s">
        <v>85</v>
      </c>
      <c r="B97" t="s">
        <v>113</v>
      </c>
      <c r="C97" s="1">
        <v>56851280.350000001</v>
      </c>
    </row>
    <row r="98" spans="1:3" x14ac:dyDescent="0.25">
      <c r="A98" t="s">
        <v>85</v>
      </c>
      <c r="B98" t="s">
        <v>114</v>
      </c>
      <c r="C98" s="1">
        <v>40930292.960000001</v>
      </c>
    </row>
    <row r="99" spans="1:3" x14ac:dyDescent="0.25">
      <c r="A99" t="s">
        <v>85</v>
      </c>
      <c r="B99" t="s">
        <v>115</v>
      </c>
      <c r="C99" s="1">
        <v>40930292.960000001</v>
      </c>
    </row>
    <row r="100" spans="1:3" x14ac:dyDescent="0.25">
      <c r="A100" t="s">
        <v>85</v>
      </c>
      <c r="B100" t="s">
        <v>146</v>
      </c>
      <c r="C100" s="1">
        <v>40930292.960000001</v>
      </c>
    </row>
    <row r="101" spans="1:3" x14ac:dyDescent="0.25">
      <c r="A101" t="s">
        <v>85</v>
      </c>
      <c r="B101" t="s">
        <v>118</v>
      </c>
      <c r="C101" s="1">
        <v>15920987.390000001</v>
      </c>
    </row>
    <row r="102" spans="1:3" x14ac:dyDescent="0.25">
      <c r="A102" t="s">
        <v>85</v>
      </c>
      <c r="B102" t="s">
        <v>119</v>
      </c>
      <c r="C102" s="1">
        <v>15920987.390000001</v>
      </c>
    </row>
  </sheetData>
  <autoFilter ref="A4:H102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workbookViewId="0">
      <selection activeCell="E5" sqref="E5:E14"/>
    </sheetView>
  </sheetViews>
  <sheetFormatPr defaultRowHeight="15" x14ac:dyDescent="0.25"/>
  <cols>
    <col min="1" max="1" width="35.5703125" customWidth="1"/>
    <col min="2" max="2" width="101.42578125" customWidth="1"/>
    <col min="3" max="3" width="18" bestFit="1" customWidth="1"/>
    <col min="4" max="4" width="13" customWidth="1"/>
    <col min="5" max="5" width="17.42578125" bestFit="1" customWidth="1"/>
    <col min="6" max="6" width="18" bestFit="1" customWidth="1"/>
    <col min="7" max="7" width="13" customWidth="1"/>
    <col min="8" max="8" width="16.85546875" bestFit="1" customWidth="1"/>
    <col min="9" max="10" width="13" customWidth="1"/>
  </cols>
  <sheetData>
    <row r="1" spans="1:6" x14ac:dyDescent="0.25">
      <c r="A1" t="s">
        <v>147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6</v>
      </c>
      <c r="B5" t="s">
        <v>7</v>
      </c>
      <c r="C5" s="1">
        <v>379128475.98000002</v>
      </c>
      <c r="E5" t="s">
        <v>7</v>
      </c>
      <c r="F5" s="1">
        <v>379128475.98000002</v>
      </c>
    </row>
    <row r="6" spans="1:6" x14ac:dyDescent="0.25">
      <c r="A6" t="s">
        <v>6</v>
      </c>
      <c r="B6" t="s">
        <v>8</v>
      </c>
      <c r="C6" s="1">
        <v>377527674.81999999</v>
      </c>
      <c r="E6" t="s">
        <v>9</v>
      </c>
      <c r="F6" s="1">
        <v>50983619.560000002</v>
      </c>
    </row>
    <row r="7" spans="1:6" x14ac:dyDescent="0.25">
      <c r="A7" t="s">
        <v>6</v>
      </c>
      <c r="B7" t="s">
        <v>10</v>
      </c>
      <c r="C7" s="1">
        <v>50983619.560000002</v>
      </c>
      <c r="E7" t="s">
        <v>11</v>
      </c>
      <c r="F7" s="1">
        <v>3844344.33</v>
      </c>
    </row>
    <row r="8" spans="1:6" x14ac:dyDescent="0.25">
      <c r="A8" t="s">
        <v>6</v>
      </c>
      <c r="B8" t="s">
        <v>12</v>
      </c>
      <c r="C8" s="1">
        <v>43476004.840000004</v>
      </c>
      <c r="E8" t="s">
        <v>13</v>
      </c>
      <c r="F8" s="1">
        <v>8364639.3399999999</v>
      </c>
    </row>
    <row r="9" spans="1:6" x14ac:dyDescent="0.25">
      <c r="A9" t="s">
        <v>6</v>
      </c>
      <c r="B9" t="s">
        <v>14</v>
      </c>
      <c r="C9" s="1">
        <v>22617366.09</v>
      </c>
      <c r="E9" t="s">
        <v>15</v>
      </c>
      <c r="F9" s="1">
        <v>20858638.75</v>
      </c>
    </row>
    <row r="10" spans="1:6" x14ac:dyDescent="0.25">
      <c r="A10" t="s">
        <v>6</v>
      </c>
      <c r="B10" t="s">
        <v>16</v>
      </c>
      <c r="C10" s="1">
        <v>3844344.33</v>
      </c>
      <c r="E10" t="s">
        <v>121</v>
      </c>
      <c r="F10" s="1">
        <v>309740072.54000002</v>
      </c>
    </row>
    <row r="11" spans="1:6" x14ac:dyDescent="0.25">
      <c r="A11" t="s">
        <v>6</v>
      </c>
      <c r="B11" t="s">
        <v>18</v>
      </c>
      <c r="C11" s="1">
        <v>10408382.42</v>
      </c>
      <c r="E11" t="s">
        <v>19</v>
      </c>
      <c r="F11" s="1">
        <v>93165203.109999999</v>
      </c>
    </row>
    <row r="12" spans="1:6" x14ac:dyDescent="0.25">
      <c r="A12" t="s">
        <v>6</v>
      </c>
      <c r="B12" t="s">
        <v>20</v>
      </c>
      <c r="C12" s="1">
        <v>10408382.42</v>
      </c>
      <c r="E12" t="s">
        <v>21</v>
      </c>
      <c r="F12" s="1">
        <v>57187873.700000003</v>
      </c>
    </row>
    <row r="13" spans="1:6" x14ac:dyDescent="0.25">
      <c r="A13" t="s">
        <v>6</v>
      </c>
      <c r="B13" t="s">
        <v>24</v>
      </c>
      <c r="C13" s="1">
        <v>8364639.3399999999</v>
      </c>
      <c r="E13" t="s">
        <v>23</v>
      </c>
      <c r="F13" s="1">
        <f>SUM(H47:H48)</f>
        <v>68816150.459999993</v>
      </c>
    </row>
    <row r="14" spans="1:6" x14ac:dyDescent="0.25">
      <c r="A14" t="s">
        <v>6</v>
      </c>
      <c r="B14" t="s">
        <v>26</v>
      </c>
      <c r="C14" s="1">
        <v>20858638.75</v>
      </c>
      <c r="E14" t="s">
        <v>25</v>
      </c>
      <c r="F14" s="1">
        <v>1600801.16</v>
      </c>
    </row>
    <row r="15" spans="1:6" x14ac:dyDescent="0.25">
      <c r="A15" t="s">
        <v>6</v>
      </c>
      <c r="B15" t="s">
        <v>27</v>
      </c>
      <c r="C15" s="1">
        <v>20858638.75</v>
      </c>
    </row>
    <row r="16" spans="1:6" x14ac:dyDescent="0.25">
      <c r="A16" t="s">
        <v>6</v>
      </c>
      <c r="B16" t="s">
        <v>28</v>
      </c>
      <c r="C16" s="1">
        <v>7507614.7199999997</v>
      </c>
    </row>
    <row r="17" spans="1:3" x14ac:dyDescent="0.25">
      <c r="A17" t="s">
        <v>6</v>
      </c>
      <c r="B17" t="s">
        <v>29</v>
      </c>
      <c r="C17" s="1">
        <v>2891923.92</v>
      </c>
    </row>
    <row r="18" spans="1:3" x14ac:dyDescent="0.25">
      <c r="A18" t="s">
        <v>6</v>
      </c>
      <c r="B18" t="s">
        <v>30</v>
      </c>
      <c r="C18" s="1">
        <v>4615690.8</v>
      </c>
    </row>
    <row r="19" spans="1:3" x14ac:dyDescent="0.25">
      <c r="A19" t="s">
        <v>6</v>
      </c>
      <c r="B19" t="s">
        <v>148</v>
      </c>
      <c r="C19" s="1">
        <v>41063.83</v>
      </c>
    </row>
    <row r="20" spans="1:3" x14ac:dyDescent="0.25">
      <c r="A20" t="s">
        <v>6</v>
      </c>
      <c r="B20" t="s">
        <v>149</v>
      </c>
      <c r="C20" s="1">
        <v>4574626.97</v>
      </c>
    </row>
    <row r="21" spans="1:3" x14ac:dyDescent="0.25">
      <c r="A21" t="s">
        <v>6</v>
      </c>
      <c r="B21" t="s">
        <v>31</v>
      </c>
      <c r="C21" s="1">
        <v>6269665.6799999997</v>
      </c>
    </row>
    <row r="22" spans="1:3" x14ac:dyDescent="0.25">
      <c r="A22" t="s">
        <v>6</v>
      </c>
      <c r="B22" t="s">
        <v>32</v>
      </c>
      <c r="C22" s="1">
        <v>6269665.6799999997</v>
      </c>
    </row>
    <row r="23" spans="1:3" x14ac:dyDescent="0.25">
      <c r="A23" t="s">
        <v>6</v>
      </c>
      <c r="B23" t="s">
        <v>33</v>
      </c>
      <c r="C23" s="1">
        <v>3850204.9</v>
      </c>
    </row>
    <row r="24" spans="1:3" x14ac:dyDescent="0.25">
      <c r="A24" t="s">
        <v>6</v>
      </c>
      <c r="B24" t="s">
        <v>34</v>
      </c>
      <c r="C24" s="1">
        <v>3850204.9</v>
      </c>
    </row>
    <row r="25" spans="1:3" x14ac:dyDescent="0.25">
      <c r="A25" t="s">
        <v>6</v>
      </c>
      <c r="B25" t="s">
        <v>93</v>
      </c>
      <c r="C25" s="1">
        <v>3850204.9</v>
      </c>
    </row>
    <row r="26" spans="1:3" x14ac:dyDescent="0.25">
      <c r="A26" t="s">
        <v>6</v>
      </c>
      <c r="B26" t="s">
        <v>36</v>
      </c>
      <c r="C26" s="1">
        <v>309740072.54000002</v>
      </c>
    </row>
    <row r="27" spans="1:3" x14ac:dyDescent="0.25">
      <c r="A27" t="s">
        <v>6</v>
      </c>
      <c r="B27" t="s">
        <v>37</v>
      </c>
      <c r="C27" s="1">
        <v>308999429.31999999</v>
      </c>
    </row>
    <row r="28" spans="1:3" x14ac:dyDescent="0.25">
      <c r="A28" t="s">
        <v>6</v>
      </c>
      <c r="B28" t="s">
        <v>38</v>
      </c>
      <c r="C28" s="1">
        <v>168657585.63999999</v>
      </c>
    </row>
    <row r="29" spans="1:3" x14ac:dyDescent="0.25">
      <c r="A29" t="s">
        <v>6</v>
      </c>
      <c r="B29" t="s">
        <v>39</v>
      </c>
      <c r="C29" s="1">
        <v>97008657.239999995</v>
      </c>
    </row>
    <row r="30" spans="1:3" x14ac:dyDescent="0.25">
      <c r="A30" t="s">
        <v>6</v>
      </c>
      <c r="B30" t="s">
        <v>40</v>
      </c>
      <c r="C30" s="1">
        <v>93165203.109999999</v>
      </c>
    </row>
    <row r="31" spans="1:3" x14ac:dyDescent="0.25">
      <c r="A31" t="s">
        <v>6</v>
      </c>
      <c r="B31" t="s">
        <v>150</v>
      </c>
      <c r="C31" s="1">
        <v>412374.54</v>
      </c>
    </row>
    <row r="32" spans="1:3" x14ac:dyDescent="0.25">
      <c r="A32" t="s">
        <v>6</v>
      </c>
      <c r="B32" t="s">
        <v>41</v>
      </c>
      <c r="C32" s="1">
        <v>3431079.59</v>
      </c>
    </row>
    <row r="33" spans="1:8" x14ac:dyDescent="0.25">
      <c r="A33" t="s">
        <v>6</v>
      </c>
      <c r="B33" t="s">
        <v>43</v>
      </c>
      <c r="C33" s="1">
        <v>742716.47</v>
      </c>
    </row>
    <row r="34" spans="1:8" x14ac:dyDescent="0.25">
      <c r="A34" t="s">
        <v>6</v>
      </c>
      <c r="B34" t="s">
        <v>98</v>
      </c>
      <c r="C34" s="1">
        <v>742716.47</v>
      </c>
    </row>
    <row r="35" spans="1:8" x14ac:dyDescent="0.25">
      <c r="A35" t="s">
        <v>6</v>
      </c>
      <c r="B35" t="s">
        <v>46</v>
      </c>
      <c r="C35" s="1">
        <v>63270455.880000003</v>
      </c>
    </row>
    <row r="36" spans="1:8" x14ac:dyDescent="0.25">
      <c r="A36" t="s">
        <v>6</v>
      </c>
      <c r="B36" t="s">
        <v>101</v>
      </c>
      <c r="C36" s="1">
        <v>2705899.98</v>
      </c>
    </row>
    <row r="37" spans="1:8" x14ac:dyDescent="0.25">
      <c r="A37" t="s">
        <v>6</v>
      </c>
      <c r="B37" t="s">
        <v>102</v>
      </c>
      <c r="C37" s="1">
        <v>4709759.63</v>
      </c>
    </row>
    <row r="38" spans="1:8" x14ac:dyDescent="0.25">
      <c r="A38" t="s">
        <v>6</v>
      </c>
      <c r="B38" t="s">
        <v>47</v>
      </c>
      <c r="C38" s="1">
        <v>220096.44</v>
      </c>
    </row>
    <row r="39" spans="1:8" x14ac:dyDescent="0.25">
      <c r="A39" t="s">
        <v>6</v>
      </c>
      <c r="B39" t="s">
        <v>49</v>
      </c>
      <c r="C39" s="1">
        <v>71525693.219999999</v>
      </c>
    </row>
    <row r="40" spans="1:8" x14ac:dyDescent="0.25">
      <c r="A40" t="s">
        <v>6</v>
      </c>
      <c r="B40" t="s">
        <v>50</v>
      </c>
      <c r="C40" s="1">
        <v>69291984.049999997</v>
      </c>
    </row>
    <row r="41" spans="1:8" x14ac:dyDescent="0.25">
      <c r="A41" t="s">
        <v>6</v>
      </c>
      <c r="B41" t="s">
        <v>51</v>
      </c>
      <c r="C41" s="1">
        <v>57187873.700000003</v>
      </c>
    </row>
    <row r="42" spans="1:8" x14ac:dyDescent="0.25">
      <c r="A42" t="s">
        <v>6</v>
      </c>
      <c r="B42" t="s">
        <v>52</v>
      </c>
      <c r="C42" s="1">
        <v>11406852.060000001</v>
      </c>
    </row>
    <row r="43" spans="1:8" x14ac:dyDescent="0.25">
      <c r="A43" t="s">
        <v>6</v>
      </c>
      <c r="B43" t="s">
        <v>151</v>
      </c>
      <c r="C43" s="1">
        <v>697258.29</v>
      </c>
    </row>
    <row r="44" spans="1:8" x14ac:dyDescent="0.25">
      <c r="A44" t="s">
        <v>6</v>
      </c>
      <c r="B44" t="s">
        <v>103</v>
      </c>
      <c r="C44" s="1">
        <v>1436700</v>
      </c>
    </row>
    <row r="45" spans="1:8" x14ac:dyDescent="0.25">
      <c r="A45" t="s">
        <v>6</v>
      </c>
      <c r="B45" t="s">
        <v>124</v>
      </c>
      <c r="C45" s="1">
        <v>797009.17</v>
      </c>
    </row>
    <row r="46" spans="1:8" x14ac:dyDescent="0.25">
      <c r="A46" t="s">
        <v>6</v>
      </c>
      <c r="B46" t="s">
        <v>56</v>
      </c>
      <c r="C46" s="1">
        <v>68816150.459999993</v>
      </c>
    </row>
    <row r="47" spans="1:8" x14ac:dyDescent="0.25">
      <c r="A47" t="s">
        <v>6</v>
      </c>
      <c r="B47" t="s">
        <v>57</v>
      </c>
      <c r="C47" s="1">
        <v>49240208.939999998</v>
      </c>
      <c r="H47" s="1">
        <v>49240208.939999998</v>
      </c>
    </row>
    <row r="48" spans="1:8" x14ac:dyDescent="0.25">
      <c r="A48" t="s">
        <v>6</v>
      </c>
      <c r="B48" t="s">
        <v>58</v>
      </c>
      <c r="C48" s="1">
        <v>19575941.52</v>
      </c>
      <c r="H48" s="1">
        <v>19575941.52</v>
      </c>
    </row>
    <row r="49" spans="1:3" x14ac:dyDescent="0.25">
      <c r="A49" t="s">
        <v>6</v>
      </c>
      <c r="B49" t="s">
        <v>59</v>
      </c>
      <c r="C49" s="1">
        <v>740643.22</v>
      </c>
    </row>
    <row r="50" spans="1:3" x14ac:dyDescent="0.25">
      <c r="A50" t="s">
        <v>6</v>
      </c>
      <c r="B50" t="s">
        <v>105</v>
      </c>
      <c r="C50" s="1">
        <v>363828.69</v>
      </c>
    </row>
    <row r="51" spans="1:3" x14ac:dyDescent="0.25">
      <c r="A51" t="s">
        <v>6</v>
      </c>
      <c r="B51" t="s">
        <v>125</v>
      </c>
      <c r="C51" s="1">
        <v>363828.69</v>
      </c>
    </row>
    <row r="52" spans="1:3" x14ac:dyDescent="0.25">
      <c r="A52" t="s">
        <v>6</v>
      </c>
      <c r="B52" t="s">
        <v>126</v>
      </c>
      <c r="C52" s="1">
        <v>376814.53</v>
      </c>
    </row>
    <row r="53" spans="1:3" x14ac:dyDescent="0.25">
      <c r="A53" t="s">
        <v>6</v>
      </c>
      <c r="B53" t="s">
        <v>152</v>
      </c>
      <c r="C53" s="1">
        <v>376814.53</v>
      </c>
    </row>
    <row r="54" spans="1:3" x14ac:dyDescent="0.25">
      <c r="A54" t="s">
        <v>6</v>
      </c>
      <c r="B54" t="s">
        <v>63</v>
      </c>
      <c r="C54" s="1">
        <v>6684112.1399999997</v>
      </c>
    </row>
    <row r="55" spans="1:3" x14ac:dyDescent="0.25">
      <c r="A55" t="s">
        <v>6</v>
      </c>
      <c r="B55" t="s">
        <v>64</v>
      </c>
      <c r="C55" s="1">
        <v>2362588.02</v>
      </c>
    </row>
    <row r="56" spans="1:3" x14ac:dyDescent="0.25">
      <c r="A56" t="s">
        <v>6</v>
      </c>
      <c r="B56" t="s">
        <v>65</v>
      </c>
      <c r="C56" s="1">
        <v>812265.03</v>
      </c>
    </row>
    <row r="57" spans="1:3" x14ac:dyDescent="0.25">
      <c r="A57" t="s">
        <v>6</v>
      </c>
      <c r="B57" t="s">
        <v>128</v>
      </c>
      <c r="C57" s="1">
        <v>114531.94</v>
      </c>
    </row>
    <row r="58" spans="1:3" x14ac:dyDescent="0.25">
      <c r="A58" t="s">
        <v>6</v>
      </c>
      <c r="B58" t="s">
        <v>129</v>
      </c>
      <c r="C58" s="1">
        <v>18600.36</v>
      </c>
    </row>
    <row r="59" spans="1:3" x14ac:dyDescent="0.25">
      <c r="A59" t="s">
        <v>6</v>
      </c>
      <c r="B59" t="s">
        <v>130</v>
      </c>
      <c r="C59" s="1">
        <v>407152.8</v>
      </c>
    </row>
    <row r="60" spans="1:3" x14ac:dyDescent="0.25">
      <c r="A60" t="s">
        <v>6</v>
      </c>
      <c r="B60" t="s">
        <v>131</v>
      </c>
      <c r="C60" s="1">
        <v>271979.93</v>
      </c>
    </row>
    <row r="61" spans="1:3" x14ac:dyDescent="0.25">
      <c r="A61" t="s">
        <v>6</v>
      </c>
      <c r="B61" t="s">
        <v>66</v>
      </c>
      <c r="C61" s="1">
        <v>1532454.35</v>
      </c>
    </row>
    <row r="62" spans="1:3" x14ac:dyDescent="0.25">
      <c r="A62" t="s">
        <v>6</v>
      </c>
      <c r="B62" t="s">
        <v>132</v>
      </c>
      <c r="C62" s="1">
        <v>1350771.49</v>
      </c>
    </row>
    <row r="63" spans="1:3" x14ac:dyDescent="0.25">
      <c r="A63" t="s">
        <v>6</v>
      </c>
      <c r="B63" t="s">
        <v>133</v>
      </c>
      <c r="C63" s="1">
        <v>62503.839999999997</v>
      </c>
    </row>
    <row r="64" spans="1:3" x14ac:dyDescent="0.25">
      <c r="A64" t="s">
        <v>6</v>
      </c>
      <c r="B64" t="s">
        <v>134</v>
      </c>
      <c r="C64" s="1">
        <v>119179.02</v>
      </c>
    </row>
    <row r="65" spans="1:3" x14ac:dyDescent="0.25">
      <c r="A65" t="s">
        <v>6</v>
      </c>
      <c r="B65" t="s">
        <v>67</v>
      </c>
      <c r="C65" s="1">
        <v>17868.64</v>
      </c>
    </row>
    <row r="66" spans="1:3" x14ac:dyDescent="0.25">
      <c r="A66" t="s">
        <v>6</v>
      </c>
      <c r="B66" t="s">
        <v>68</v>
      </c>
      <c r="C66" s="1">
        <v>515430.13</v>
      </c>
    </row>
    <row r="67" spans="1:3" x14ac:dyDescent="0.25">
      <c r="A67" t="s">
        <v>6</v>
      </c>
      <c r="B67" t="s">
        <v>70</v>
      </c>
      <c r="C67" s="1">
        <v>515430.13</v>
      </c>
    </row>
    <row r="68" spans="1:3" x14ac:dyDescent="0.25">
      <c r="A68" t="s">
        <v>6</v>
      </c>
      <c r="B68" t="s">
        <v>71</v>
      </c>
      <c r="C68" s="1">
        <v>515430.13</v>
      </c>
    </row>
    <row r="69" spans="1:3" x14ac:dyDescent="0.25">
      <c r="A69" t="s">
        <v>6</v>
      </c>
      <c r="B69" t="s">
        <v>72</v>
      </c>
      <c r="C69" s="1">
        <v>2114050.46</v>
      </c>
    </row>
    <row r="70" spans="1:3" x14ac:dyDescent="0.25">
      <c r="A70" t="s">
        <v>6</v>
      </c>
      <c r="B70" t="s">
        <v>73</v>
      </c>
      <c r="C70" s="1">
        <v>2109702.14</v>
      </c>
    </row>
    <row r="71" spans="1:3" x14ac:dyDescent="0.25">
      <c r="A71" t="s">
        <v>6</v>
      </c>
      <c r="B71" t="s">
        <v>135</v>
      </c>
      <c r="C71" s="1">
        <v>1885604.45</v>
      </c>
    </row>
    <row r="72" spans="1:3" x14ac:dyDescent="0.25">
      <c r="A72" t="s">
        <v>6</v>
      </c>
      <c r="B72" t="s">
        <v>136</v>
      </c>
      <c r="C72" s="1">
        <v>24251.9</v>
      </c>
    </row>
    <row r="73" spans="1:3" x14ac:dyDescent="0.25">
      <c r="A73" t="s">
        <v>6</v>
      </c>
      <c r="B73" t="s">
        <v>137</v>
      </c>
      <c r="C73" s="1">
        <v>199845.79</v>
      </c>
    </row>
    <row r="74" spans="1:3" x14ac:dyDescent="0.25">
      <c r="A74" t="s">
        <v>6</v>
      </c>
      <c r="B74" t="s">
        <v>111</v>
      </c>
      <c r="C74" s="1">
        <v>4348.32</v>
      </c>
    </row>
    <row r="75" spans="1:3" x14ac:dyDescent="0.25">
      <c r="A75" t="s">
        <v>6</v>
      </c>
      <c r="B75" t="s">
        <v>153</v>
      </c>
      <c r="C75" s="1">
        <v>4348.32</v>
      </c>
    </row>
    <row r="76" spans="1:3" x14ac:dyDescent="0.25">
      <c r="A76" t="s">
        <v>6</v>
      </c>
      <c r="B76" t="s">
        <v>74</v>
      </c>
      <c r="C76" s="1">
        <v>1692043.53</v>
      </c>
    </row>
    <row r="77" spans="1:3" x14ac:dyDescent="0.25">
      <c r="A77" t="s">
        <v>6</v>
      </c>
      <c r="B77" t="s">
        <v>154</v>
      </c>
      <c r="C77" s="1">
        <v>1692043.53</v>
      </c>
    </row>
    <row r="78" spans="1:3" x14ac:dyDescent="0.25">
      <c r="A78" t="s">
        <v>6</v>
      </c>
      <c r="B78" t="s">
        <v>75</v>
      </c>
      <c r="C78" s="1">
        <v>1600801.16</v>
      </c>
    </row>
    <row r="79" spans="1:3" x14ac:dyDescent="0.25">
      <c r="A79" t="s">
        <v>6</v>
      </c>
      <c r="B79" t="s">
        <v>78</v>
      </c>
      <c r="C79" s="1">
        <v>1600801.16</v>
      </c>
    </row>
    <row r="80" spans="1:3" x14ac:dyDescent="0.25">
      <c r="A80" t="s">
        <v>6</v>
      </c>
      <c r="B80" t="s">
        <v>79</v>
      </c>
      <c r="C80" s="1">
        <v>147841.32</v>
      </c>
    </row>
    <row r="81" spans="1:3" x14ac:dyDescent="0.25">
      <c r="A81" t="s">
        <v>6</v>
      </c>
      <c r="B81" t="s">
        <v>80</v>
      </c>
      <c r="C81" s="1">
        <v>147841.32</v>
      </c>
    </row>
    <row r="82" spans="1:3" x14ac:dyDescent="0.25">
      <c r="A82" t="s">
        <v>6</v>
      </c>
      <c r="B82" t="s">
        <v>81</v>
      </c>
      <c r="C82" s="1">
        <v>147841.32</v>
      </c>
    </row>
    <row r="83" spans="1:3" x14ac:dyDescent="0.25">
      <c r="A83" t="s">
        <v>6</v>
      </c>
      <c r="B83" t="s">
        <v>82</v>
      </c>
      <c r="C83" s="1">
        <v>1452959.84</v>
      </c>
    </row>
    <row r="84" spans="1:3" x14ac:dyDescent="0.25">
      <c r="A84" t="s">
        <v>6</v>
      </c>
      <c r="B84" t="s">
        <v>83</v>
      </c>
      <c r="C84" s="1">
        <v>1452959.84</v>
      </c>
    </row>
    <row r="85" spans="1:3" x14ac:dyDescent="0.25">
      <c r="A85" t="s">
        <v>6</v>
      </c>
      <c r="B85" t="s">
        <v>84</v>
      </c>
      <c r="C85" s="1">
        <v>1452959.84</v>
      </c>
    </row>
  </sheetData>
  <autoFilter ref="A4:G85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workbookViewId="0">
      <selection activeCell="A12" sqref="A12"/>
    </sheetView>
  </sheetViews>
  <sheetFormatPr defaultRowHeight="15" x14ac:dyDescent="0.25"/>
  <cols>
    <col min="1" max="1" width="36.5703125" customWidth="1"/>
    <col min="2" max="2" width="102.5703125" customWidth="1"/>
    <col min="3" max="3" width="19.5703125" bestFit="1" customWidth="1"/>
    <col min="4" max="4" width="13" customWidth="1"/>
    <col min="5" max="5" width="17.42578125" bestFit="1" customWidth="1"/>
    <col min="6" max="6" width="19.5703125" bestFit="1" customWidth="1"/>
    <col min="7" max="7" width="16.85546875" bestFit="1" customWidth="1"/>
    <col min="8" max="10" width="13" customWidth="1"/>
  </cols>
  <sheetData>
    <row r="1" spans="1:6" x14ac:dyDescent="0.25">
      <c r="A1" t="s">
        <v>147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85</v>
      </c>
      <c r="B5" t="s">
        <v>7</v>
      </c>
      <c r="C5" s="1">
        <v>1179392127.0899999</v>
      </c>
      <c r="E5" t="s">
        <v>7</v>
      </c>
      <c r="F5" s="1">
        <v>1179392127.0899999</v>
      </c>
    </row>
    <row r="6" spans="1:6" x14ac:dyDescent="0.25">
      <c r="A6" t="s">
        <v>85</v>
      </c>
      <c r="B6" t="s">
        <v>8</v>
      </c>
      <c r="C6" s="1">
        <v>1091267050.52</v>
      </c>
      <c r="E6" t="s">
        <v>9</v>
      </c>
      <c r="F6" s="1">
        <v>1091267050.52</v>
      </c>
    </row>
    <row r="7" spans="1:6" x14ac:dyDescent="0.25">
      <c r="A7" t="s">
        <v>85</v>
      </c>
      <c r="B7" t="s">
        <v>10</v>
      </c>
      <c r="C7" s="1">
        <v>258177034.25</v>
      </c>
      <c r="E7" t="s">
        <v>11</v>
      </c>
      <c r="F7" s="1">
        <v>75147462.480000004</v>
      </c>
    </row>
    <row r="8" spans="1:6" x14ac:dyDescent="0.25">
      <c r="A8" t="s">
        <v>85</v>
      </c>
      <c r="B8" t="s">
        <v>12</v>
      </c>
      <c r="C8" s="1">
        <v>237373304.86000001</v>
      </c>
      <c r="E8" t="s">
        <v>13</v>
      </c>
      <c r="F8" s="1">
        <v>15130218.279999999</v>
      </c>
    </row>
    <row r="9" spans="1:6" x14ac:dyDescent="0.25">
      <c r="A9" t="s">
        <v>85</v>
      </c>
      <c r="B9" t="s">
        <v>14</v>
      </c>
      <c r="C9" s="1">
        <v>122653040.19</v>
      </c>
      <c r="E9" t="s">
        <v>15</v>
      </c>
      <c r="F9" s="1">
        <v>114720264.67</v>
      </c>
    </row>
    <row r="10" spans="1:6" x14ac:dyDescent="0.25">
      <c r="A10" t="s">
        <v>85</v>
      </c>
      <c r="B10" t="s">
        <v>16</v>
      </c>
      <c r="C10" s="1">
        <v>75147462.480000004</v>
      </c>
      <c r="E10" t="s">
        <v>121</v>
      </c>
      <c r="F10" s="1">
        <v>706637261.37</v>
      </c>
    </row>
    <row r="11" spans="1:6" x14ac:dyDescent="0.25">
      <c r="A11" t="s">
        <v>85</v>
      </c>
      <c r="B11" t="s">
        <v>18</v>
      </c>
      <c r="C11" s="1">
        <v>32375359.43</v>
      </c>
      <c r="E11" t="s">
        <v>19</v>
      </c>
      <c r="F11" s="1">
        <v>96117752.680000007</v>
      </c>
    </row>
    <row r="12" spans="1:6" x14ac:dyDescent="0.25">
      <c r="A12" t="s">
        <v>85</v>
      </c>
      <c r="B12" t="s">
        <v>20</v>
      </c>
      <c r="C12" s="1">
        <v>28963402.989999998</v>
      </c>
      <c r="E12" t="s">
        <v>21</v>
      </c>
      <c r="F12" s="1">
        <v>407606493.14999998</v>
      </c>
    </row>
    <row r="13" spans="1:6" x14ac:dyDescent="0.25">
      <c r="A13" t="s">
        <v>85</v>
      </c>
      <c r="B13" t="s">
        <v>22</v>
      </c>
      <c r="C13" s="1">
        <v>3411956.44</v>
      </c>
      <c r="E13" t="s">
        <v>23</v>
      </c>
      <c r="F13" s="1">
        <f>SUM(G64:G65)</f>
        <v>117762180.19</v>
      </c>
    </row>
    <row r="14" spans="1:6" x14ac:dyDescent="0.25">
      <c r="A14" t="s">
        <v>85</v>
      </c>
      <c r="B14" t="s">
        <v>24</v>
      </c>
      <c r="C14" s="1">
        <v>15130218.279999999</v>
      </c>
      <c r="E14" t="s">
        <v>25</v>
      </c>
      <c r="F14" s="1">
        <v>21236249.940000001</v>
      </c>
    </row>
    <row r="15" spans="1:6" x14ac:dyDescent="0.25">
      <c r="A15" t="s">
        <v>85</v>
      </c>
      <c r="B15" t="s">
        <v>26</v>
      </c>
      <c r="C15" s="1">
        <v>114720264.67</v>
      </c>
    </row>
    <row r="16" spans="1:6" x14ac:dyDescent="0.25">
      <c r="A16" t="s">
        <v>85</v>
      </c>
      <c r="B16" t="s">
        <v>27</v>
      </c>
      <c r="C16" s="1">
        <v>114720264.67</v>
      </c>
    </row>
    <row r="17" spans="1:3" x14ac:dyDescent="0.25">
      <c r="A17" t="s">
        <v>85</v>
      </c>
      <c r="B17" t="s">
        <v>28</v>
      </c>
      <c r="C17" s="1">
        <v>20803729.390000001</v>
      </c>
    </row>
    <row r="18" spans="1:3" x14ac:dyDescent="0.25">
      <c r="A18" t="s">
        <v>85</v>
      </c>
      <c r="B18" t="s">
        <v>29</v>
      </c>
      <c r="C18" s="1">
        <v>8642125.2300000004</v>
      </c>
    </row>
    <row r="19" spans="1:3" x14ac:dyDescent="0.25">
      <c r="A19" t="s">
        <v>85</v>
      </c>
      <c r="B19" t="s">
        <v>30</v>
      </c>
      <c r="C19" s="1">
        <v>12161604.16</v>
      </c>
    </row>
    <row r="20" spans="1:3" x14ac:dyDescent="0.25">
      <c r="A20" t="s">
        <v>85</v>
      </c>
      <c r="B20" t="s">
        <v>155</v>
      </c>
      <c r="C20" s="1">
        <v>21213.87</v>
      </c>
    </row>
    <row r="21" spans="1:3" x14ac:dyDescent="0.25">
      <c r="A21" t="s">
        <v>85</v>
      </c>
      <c r="B21" t="s">
        <v>149</v>
      </c>
      <c r="C21" s="1">
        <v>12140390.289999999</v>
      </c>
    </row>
    <row r="22" spans="1:3" x14ac:dyDescent="0.25">
      <c r="A22" t="s">
        <v>85</v>
      </c>
      <c r="B22" t="s">
        <v>31</v>
      </c>
      <c r="C22" s="1">
        <v>51749431.210000001</v>
      </c>
    </row>
    <row r="23" spans="1:3" x14ac:dyDescent="0.25">
      <c r="A23" t="s">
        <v>85</v>
      </c>
      <c r="B23" t="s">
        <v>86</v>
      </c>
      <c r="C23" s="1">
        <v>36272857.259999998</v>
      </c>
    </row>
    <row r="24" spans="1:3" x14ac:dyDescent="0.25">
      <c r="A24" t="s">
        <v>85</v>
      </c>
      <c r="B24" t="s">
        <v>87</v>
      </c>
      <c r="C24" s="1">
        <v>27005645.16</v>
      </c>
    </row>
    <row r="25" spans="1:3" x14ac:dyDescent="0.25">
      <c r="A25" t="s">
        <v>85</v>
      </c>
      <c r="B25" t="s">
        <v>88</v>
      </c>
      <c r="C25" s="1">
        <v>25818769.760000002</v>
      </c>
    </row>
    <row r="26" spans="1:3" x14ac:dyDescent="0.25">
      <c r="A26" t="s">
        <v>85</v>
      </c>
      <c r="B26" t="s">
        <v>89</v>
      </c>
      <c r="C26" s="1">
        <v>1123676.68</v>
      </c>
    </row>
    <row r="27" spans="1:3" x14ac:dyDescent="0.25">
      <c r="A27" t="s">
        <v>85</v>
      </c>
      <c r="B27" t="s">
        <v>90</v>
      </c>
      <c r="C27" s="1">
        <v>63198.720000000001</v>
      </c>
    </row>
    <row r="28" spans="1:3" x14ac:dyDescent="0.25">
      <c r="A28" t="s">
        <v>85</v>
      </c>
      <c r="B28" t="s">
        <v>91</v>
      </c>
      <c r="C28" s="1">
        <v>9267212.0999999996</v>
      </c>
    </row>
    <row r="29" spans="1:3" x14ac:dyDescent="0.25">
      <c r="A29" t="s">
        <v>85</v>
      </c>
      <c r="B29" t="s">
        <v>32</v>
      </c>
      <c r="C29" s="1">
        <v>15476573.949999999</v>
      </c>
    </row>
    <row r="30" spans="1:3" x14ac:dyDescent="0.25">
      <c r="A30" t="s">
        <v>85</v>
      </c>
      <c r="B30" t="s">
        <v>33</v>
      </c>
      <c r="C30" s="1">
        <v>51841610.07</v>
      </c>
    </row>
    <row r="31" spans="1:3" x14ac:dyDescent="0.25">
      <c r="A31" t="s">
        <v>85</v>
      </c>
      <c r="B31" t="s">
        <v>34</v>
      </c>
      <c r="C31" s="1">
        <v>39291385.950000003</v>
      </c>
    </row>
    <row r="32" spans="1:3" x14ac:dyDescent="0.25">
      <c r="A32" t="s">
        <v>85</v>
      </c>
      <c r="B32" t="s">
        <v>92</v>
      </c>
      <c r="C32" s="1">
        <v>51.57</v>
      </c>
    </row>
    <row r="33" spans="1:3" x14ac:dyDescent="0.25">
      <c r="A33" t="s">
        <v>85</v>
      </c>
      <c r="B33" t="s">
        <v>93</v>
      </c>
      <c r="C33" s="1">
        <v>8753820.8399999999</v>
      </c>
    </row>
    <row r="34" spans="1:3" x14ac:dyDescent="0.25">
      <c r="A34" t="s">
        <v>85</v>
      </c>
      <c r="B34" t="s">
        <v>94</v>
      </c>
      <c r="C34" s="1">
        <v>30537513.539999999</v>
      </c>
    </row>
    <row r="35" spans="1:3" x14ac:dyDescent="0.25">
      <c r="A35" t="s">
        <v>85</v>
      </c>
      <c r="B35" t="s">
        <v>156</v>
      </c>
      <c r="C35" s="1">
        <v>12550224.119999999</v>
      </c>
    </row>
    <row r="36" spans="1:3" x14ac:dyDescent="0.25">
      <c r="A36" t="s">
        <v>85</v>
      </c>
      <c r="B36" t="s">
        <v>95</v>
      </c>
      <c r="C36" s="1">
        <v>7648036.2999999998</v>
      </c>
    </row>
    <row r="37" spans="1:3" x14ac:dyDescent="0.25">
      <c r="A37" t="s">
        <v>85</v>
      </c>
      <c r="B37" t="s">
        <v>96</v>
      </c>
      <c r="C37" s="1">
        <v>363417.12</v>
      </c>
    </row>
    <row r="38" spans="1:3" x14ac:dyDescent="0.25">
      <c r="A38" t="s">
        <v>85</v>
      </c>
      <c r="B38" t="s">
        <v>141</v>
      </c>
      <c r="C38" s="1">
        <v>5600407.5899999999</v>
      </c>
    </row>
    <row r="39" spans="1:3" x14ac:dyDescent="0.25">
      <c r="A39" t="s">
        <v>85</v>
      </c>
      <c r="B39" t="s">
        <v>142</v>
      </c>
      <c r="C39" s="1">
        <v>1684211.59</v>
      </c>
    </row>
    <row r="40" spans="1:3" x14ac:dyDescent="0.25">
      <c r="A40" t="s">
        <v>85</v>
      </c>
      <c r="B40" t="s">
        <v>36</v>
      </c>
      <c r="C40" s="1">
        <v>706637261.37</v>
      </c>
    </row>
    <row r="41" spans="1:3" x14ac:dyDescent="0.25">
      <c r="A41" t="s">
        <v>85</v>
      </c>
      <c r="B41" t="s">
        <v>37</v>
      </c>
      <c r="C41" s="1">
        <v>706637261.37</v>
      </c>
    </row>
    <row r="42" spans="1:3" x14ac:dyDescent="0.25">
      <c r="A42" t="s">
        <v>85</v>
      </c>
      <c r="B42" t="s">
        <v>38</v>
      </c>
      <c r="C42" s="1">
        <v>155999487</v>
      </c>
    </row>
    <row r="43" spans="1:3" x14ac:dyDescent="0.25">
      <c r="A43" t="s">
        <v>85</v>
      </c>
      <c r="B43" t="s">
        <v>39</v>
      </c>
      <c r="C43" s="1">
        <v>96169635.269999996</v>
      </c>
    </row>
    <row r="44" spans="1:3" x14ac:dyDescent="0.25">
      <c r="A44" t="s">
        <v>85</v>
      </c>
      <c r="B44" t="s">
        <v>40</v>
      </c>
      <c r="C44" s="1">
        <v>96117752.680000007</v>
      </c>
    </row>
    <row r="45" spans="1:3" x14ac:dyDescent="0.25">
      <c r="A45" t="s">
        <v>85</v>
      </c>
      <c r="B45" t="s">
        <v>41</v>
      </c>
      <c r="C45" s="1">
        <v>51882.59</v>
      </c>
    </row>
    <row r="46" spans="1:3" x14ac:dyDescent="0.25">
      <c r="A46" t="s">
        <v>85</v>
      </c>
      <c r="B46" t="s">
        <v>43</v>
      </c>
      <c r="C46" s="1">
        <v>5033860.66</v>
      </c>
    </row>
    <row r="47" spans="1:3" x14ac:dyDescent="0.25">
      <c r="A47" t="s">
        <v>85</v>
      </c>
      <c r="B47" t="s">
        <v>98</v>
      </c>
      <c r="C47" s="1">
        <v>21578.83</v>
      </c>
    </row>
    <row r="48" spans="1:3" x14ac:dyDescent="0.25">
      <c r="A48" t="s">
        <v>85</v>
      </c>
      <c r="B48" t="s">
        <v>99</v>
      </c>
      <c r="C48" s="1">
        <v>4258888.78</v>
      </c>
    </row>
    <row r="49" spans="1:7" x14ac:dyDescent="0.25">
      <c r="A49" t="s">
        <v>85</v>
      </c>
      <c r="B49" t="s">
        <v>100</v>
      </c>
      <c r="C49" s="1">
        <v>753393.05</v>
      </c>
    </row>
    <row r="50" spans="1:7" x14ac:dyDescent="0.25">
      <c r="A50" t="s">
        <v>85</v>
      </c>
      <c r="B50" t="s">
        <v>46</v>
      </c>
      <c r="C50" s="1">
        <v>40432315.859999999</v>
      </c>
    </row>
    <row r="51" spans="1:7" x14ac:dyDescent="0.25">
      <c r="A51" t="s">
        <v>85</v>
      </c>
      <c r="B51" t="s">
        <v>101</v>
      </c>
      <c r="C51" s="1">
        <v>1317836</v>
      </c>
    </row>
    <row r="52" spans="1:7" x14ac:dyDescent="0.25">
      <c r="A52" t="s">
        <v>85</v>
      </c>
      <c r="B52" t="s">
        <v>102</v>
      </c>
      <c r="C52" s="1">
        <v>8660960.0500000007</v>
      </c>
    </row>
    <row r="53" spans="1:7" x14ac:dyDescent="0.25">
      <c r="A53" t="s">
        <v>85</v>
      </c>
      <c r="B53" t="s">
        <v>47</v>
      </c>
      <c r="C53" s="1">
        <v>1569305.79</v>
      </c>
    </row>
    <row r="54" spans="1:7" x14ac:dyDescent="0.25">
      <c r="A54" t="s">
        <v>85</v>
      </c>
      <c r="B54" t="s">
        <v>48</v>
      </c>
      <c r="C54" s="1">
        <v>2815573.37</v>
      </c>
    </row>
    <row r="55" spans="1:7" x14ac:dyDescent="0.25">
      <c r="A55" t="s">
        <v>85</v>
      </c>
      <c r="B55" t="s">
        <v>49</v>
      </c>
      <c r="C55" s="1">
        <v>432875594.18000001</v>
      </c>
    </row>
    <row r="56" spans="1:7" x14ac:dyDescent="0.25">
      <c r="A56" t="s">
        <v>85</v>
      </c>
      <c r="B56" t="s">
        <v>50</v>
      </c>
      <c r="C56" s="1">
        <v>428561665.01999998</v>
      </c>
    </row>
    <row r="57" spans="1:7" x14ac:dyDescent="0.25">
      <c r="A57" t="s">
        <v>85</v>
      </c>
      <c r="B57" t="s">
        <v>51</v>
      </c>
      <c r="C57" s="1">
        <v>407606493.14999998</v>
      </c>
    </row>
    <row r="58" spans="1:7" x14ac:dyDescent="0.25">
      <c r="A58" t="s">
        <v>85</v>
      </c>
      <c r="B58" t="s">
        <v>52</v>
      </c>
      <c r="C58" s="1">
        <v>17126897.02</v>
      </c>
    </row>
    <row r="59" spans="1:7" x14ac:dyDescent="0.25">
      <c r="A59" t="s">
        <v>85</v>
      </c>
      <c r="B59" t="s">
        <v>151</v>
      </c>
      <c r="C59" s="1">
        <v>3532065.91</v>
      </c>
    </row>
    <row r="60" spans="1:7" x14ac:dyDescent="0.25">
      <c r="A60" t="s">
        <v>85</v>
      </c>
      <c r="B60" t="s">
        <v>54</v>
      </c>
      <c r="C60" s="1">
        <v>296208.94</v>
      </c>
    </row>
    <row r="61" spans="1:7" x14ac:dyDescent="0.25">
      <c r="A61" t="s">
        <v>85</v>
      </c>
      <c r="B61" t="s">
        <v>103</v>
      </c>
      <c r="C61" s="1">
        <v>2116950</v>
      </c>
    </row>
    <row r="62" spans="1:7" x14ac:dyDescent="0.25">
      <c r="A62" t="s">
        <v>85</v>
      </c>
      <c r="B62" t="s">
        <v>124</v>
      </c>
      <c r="C62" s="1">
        <v>2196979.16</v>
      </c>
    </row>
    <row r="63" spans="1:7" x14ac:dyDescent="0.25">
      <c r="A63" t="s">
        <v>85</v>
      </c>
      <c r="B63" t="s">
        <v>56</v>
      </c>
      <c r="C63" s="1">
        <v>117762180.19</v>
      </c>
    </row>
    <row r="64" spans="1:7" x14ac:dyDescent="0.25">
      <c r="A64" t="s">
        <v>85</v>
      </c>
      <c r="B64" t="s">
        <v>57</v>
      </c>
      <c r="C64" s="1">
        <v>84146824.099999994</v>
      </c>
      <c r="G64" s="1">
        <v>84146824.099999994</v>
      </c>
    </row>
    <row r="65" spans="1:7" x14ac:dyDescent="0.25">
      <c r="A65" t="s">
        <v>85</v>
      </c>
      <c r="B65" t="s">
        <v>58</v>
      </c>
      <c r="C65" s="1">
        <v>33615356.090000004</v>
      </c>
      <c r="G65" s="1">
        <v>33615356.090000004</v>
      </c>
    </row>
    <row r="66" spans="1:7" x14ac:dyDescent="0.25">
      <c r="A66" t="s">
        <v>85</v>
      </c>
      <c r="B66" t="s">
        <v>63</v>
      </c>
      <c r="C66" s="1">
        <v>15213677.32</v>
      </c>
    </row>
    <row r="67" spans="1:7" x14ac:dyDescent="0.25">
      <c r="A67" t="s">
        <v>85</v>
      </c>
      <c r="B67" t="s">
        <v>64</v>
      </c>
      <c r="C67" s="1">
        <v>11232101.800000001</v>
      </c>
    </row>
    <row r="68" spans="1:7" x14ac:dyDescent="0.25">
      <c r="A68" t="s">
        <v>85</v>
      </c>
      <c r="B68" t="s">
        <v>65</v>
      </c>
      <c r="C68" s="1">
        <v>6359449.75</v>
      </c>
    </row>
    <row r="69" spans="1:7" x14ac:dyDescent="0.25">
      <c r="A69" t="s">
        <v>85</v>
      </c>
      <c r="B69" t="s">
        <v>128</v>
      </c>
      <c r="C69" s="1">
        <v>1633363.28</v>
      </c>
    </row>
    <row r="70" spans="1:7" x14ac:dyDescent="0.25">
      <c r="A70" t="s">
        <v>85</v>
      </c>
      <c r="B70" t="s">
        <v>129</v>
      </c>
      <c r="C70" s="1">
        <v>99749.8</v>
      </c>
    </row>
    <row r="71" spans="1:7" x14ac:dyDescent="0.25">
      <c r="A71" t="s">
        <v>85</v>
      </c>
      <c r="B71" t="s">
        <v>130</v>
      </c>
      <c r="C71" s="1">
        <v>3773825.65</v>
      </c>
    </row>
    <row r="72" spans="1:7" x14ac:dyDescent="0.25">
      <c r="A72" t="s">
        <v>85</v>
      </c>
      <c r="B72" t="s">
        <v>131</v>
      </c>
      <c r="C72" s="1">
        <v>852511.02</v>
      </c>
    </row>
    <row r="73" spans="1:7" x14ac:dyDescent="0.25">
      <c r="A73" t="s">
        <v>85</v>
      </c>
      <c r="B73" t="s">
        <v>107</v>
      </c>
      <c r="C73" s="1">
        <v>120004.29</v>
      </c>
    </row>
    <row r="74" spans="1:7" x14ac:dyDescent="0.25">
      <c r="A74" t="s">
        <v>85</v>
      </c>
      <c r="B74" t="s">
        <v>157</v>
      </c>
      <c r="C74" s="1">
        <v>120004.29</v>
      </c>
    </row>
    <row r="75" spans="1:7" x14ac:dyDescent="0.25">
      <c r="A75" t="s">
        <v>85</v>
      </c>
      <c r="B75" t="s">
        <v>66</v>
      </c>
      <c r="C75" s="1">
        <v>2375022.64</v>
      </c>
    </row>
    <row r="76" spans="1:7" x14ac:dyDescent="0.25">
      <c r="A76" t="s">
        <v>85</v>
      </c>
      <c r="B76" t="s">
        <v>132</v>
      </c>
      <c r="C76" s="1">
        <v>1628344.85</v>
      </c>
    </row>
    <row r="77" spans="1:7" x14ac:dyDescent="0.25">
      <c r="A77" t="s">
        <v>85</v>
      </c>
      <c r="B77" t="s">
        <v>133</v>
      </c>
      <c r="C77" s="1">
        <v>362800.51</v>
      </c>
    </row>
    <row r="78" spans="1:7" x14ac:dyDescent="0.25">
      <c r="A78" t="s">
        <v>85</v>
      </c>
      <c r="B78" t="s">
        <v>134</v>
      </c>
      <c r="C78" s="1">
        <v>383877.28</v>
      </c>
    </row>
    <row r="79" spans="1:7" x14ac:dyDescent="0.25">
      <c r="A79" t="s">
        <v>85</v>
      </c>
      <c r="B79" t="s">
        <v>108</v>
      </c>
      <c r="C79" s="1">
        <v>275183.51</v>
      </c>
    </row>
    <row r="80" spans="1:7" x14ac:dyDescent="0.25">
      <c r="A80" t="s">
        <v>85</v>
      </c>
      <c r="B80" t="s">
        <v>158</v>
      </c>
      <c r="C80" s="1">
        <v>275183.51</v>
      </c>
    </row>
    <row r="81" spans="1:3" x14ac:dyDescent="0.25">
      <c r="A81" t="s">
        <v>85</v>
      </c>
      <c r="B81" t="s">
        <v>109</v>
      </c>
      <c r="C81" s="1">
        <v>11852.93</v>
      </c>
    </row>
    <row r="82" spans="1:3" x14ac:dyDescent="0.25">
      <c r="A82" t="s">
        <v>85</v>
      </c>
      <c r="B82" t="s">
        <v>159</v>
      </c>
      <c r="C82" s="1">
        <v>11852.93</v>
      </c>
    </row>
    <row r="83" spans="1:3" x14ac:dyDescent="0.25">
      <c r="A83" t="s">
        <v>85</v>
      </c>
      <c r="B83" t="s">
        <v>67</v>
      </c>
      <c r="C83" s="1">
        <v>2090588.68</v>
      </c>
    </row>
    <row r="84" spans="1:3" x14ac:dyDescent="0.25">
      <c r="A84" t="s">
        <v>85</v>
      </c>
      <c r="B84" t="s">
        <v>68</v>
      </c>
      <c r="C84" s="1">
        <v>1856522.7</v>
      </c>
    </row>
    <row r="85" spans="1:3" x14ac:dyDescent="0.25">
      <c r="A85" t="s">
        <v>85</v>
      </c>
      <c r="B85" t="s">
        <v>70</v>
      </c>
      <c r="C85" s="1">
        <v>1856522.7</v>
      </c>
    </row>
    <row r="86" spans="1:3" x14ac:dyDescent="0.25">
      <c r="A86" t="s">
        <v>85</v>
      </c>
      <c r="B86" t="s">
        <v>71</v>
      </c>
      <c r="C86" s="1">
        <v>1856522.7</v>
      </c>
    </row>
    <row r="87" spans="1:3" x14ac:dyDescent="0.25">
      <c r="A87" t="s">
        <v>85</v>
      </c>
      <c r="B87" t="s">
        <v>72</v>
      </c>
      <c r="C87" s="1">
        <v>1507452.24</v>
      </c>
    </row>
    <row r="88" spans="1:3" x14ac:dyDescent="0.25">
      <c r="A88" t="s">
        <v>85</v>
      </c>
      <c r="B88" t="s">
        <v>73</v>
      </c>
      <c r="C88" s="1">
        <v>1298340.06</v>
      </c>
    </row>
    <row r="89" spans="1:3" x14ac:dyDescent="0.25">
      <c r="A89" t="s">
        <v>85</v>
      </c>
      <c r="B89" t="s">
        <v>135</v>
      </c>
      <c r="C89" s="1">
        <v>846092.56</v>
      </c>
    </row>
    <row r="90" spans="1:3" x14ac:dyDescent="0.25">
      <c r="A90" t="s">
        <v>85</v>
      </c>
      <c r="B90" t="s">
        <v>136</v>
      </c>
      <c r="C90" s="1">
        <v>228703.35</v>
      </c>
    </row>
    <row r="91" spans="1:3" x14ac:dyDescent="0.25">
      <c r="A91" t="s">
        <v>85</v>
      </c>
      <c r="B91" t="s">
        <v>137</v>
      </c>
      <c r="C91" s="1">
        <v>223544.15</v>
      </c>
    </row>
    <row r="92" spans="1:3" x14ac:dyDescent="0.25">
      <c r="A92" t="s">
        <v>85</v>
      </c>
      <c r="B92" t="s">
        <v>111</v>
      </c>
      <c r="C92" s="1">
        <v>209112.18</v>
      </c>
    </row>
    <row r="93" spans="1:3" x14ac:dyDescent="0.25">
      <c r="A93" t="s">
        <v>85</v>
      </c>
      <c r="B93" t="s">
        <v>160</v>
      </c>
      <c r="C93" s="1">
        <v>134120.97</v>
      </c>
    </row>
    <row r="94" spans="1:3" x14ac:dyDescent="0.25">
      <c r="A94" t="s">
        <v>85</v>
      </c>
      <c r="B94" t="s">
        <v>153</v>
      </c>
      <c r="C94" s="1">
        <v>74991.210000000006</v>
      </c>
    </row>
    <row r="95" spans="1:3" x14ac:dyDescent="0.25">
      <c r="A95" t="s">
        <v>85</v>
      </c>
      <c r="B95" t="s">
        <v>74</v>
      </c>
      <c r="C95" s="1">
        <v>617600.57999999996</v>
      </c>
    </row>
    <row r="96" spans="1:3" x14ac:dyDescent="0.25">
      <c r="A96" t="s">
        <v>85</v>
      </c>
      <c r="B96" t="s">
        <v>161</v>
      </c>
      <c r="C96" s="1">
        <v>202736.99</v>
      </c>
    </row>
    <row r="97" spans="1:3" x14ac:dyDescent="0.25">
      <c r="A97" t="s">
        <v>85</v>
      </c>
      <c r="B97" t="s">
        <v>154</v>
      </c>
      <c r="C97" s="1">
        <v>414863.59</v>
      </c>
    </row>
    <row r="98" spans="1:3" x14ac:dyDescent="0.25">
      <c r="A98" t="s">
        <v>85</v>
      </c>
      <c r="B98" t="s">
        <v>75</v>
      </c>
      <c r="C98" s="1">
        <v>21236249.940000001</v>
      </c>
    </row>
    <row r="99" spans="1:3" x14ac:dyDescent="0.25">
      <c r="A99" t="s">
        <v>85</v>
      </c>
      <c r="B99" t="s">
        <v>143</v>
      </c>
      <c r="C99" s="1">
        <v>12447647.27</v>
      </c>
    </row>
    <row r="100" spans="1:3" x14ac:dyDescent="0.25">
      <c r="A100" t="s">
        <v>85</v>
      </c>
      <c r="B100" t="s">
        <v>144</v>
      </c>
      <c r="C100" s="1">
        <v>12447647.27</v>
      </c>
    </row>
    <row r="101" spans="1:3" x14ac:dyDescent="0.25">
      <c r="A101" t="s">
        <v>85</v>
      </c>
      <c r="B101" t="s">
        <v>78</v>
      </c>
      <c r="C101" s="1">
        <v>8788602.6699999999</v>
      </c>
    </row>
    <row r="102" spans="1:3" x14ac:dyDescent="0.25">
      <c r="A102" t="s">
        <v>85</v>
      </c>
      <c r="B102" t="s">
        <v>79</v>
      </c>
      <c r="C102" s="1">
        <v>2207895</v>
      </c>
    </row>
    <row r="103" spans="1:3" x14ac:dyDescent="0.25">
      <c r="A103" t="s">
        <v>85</v>
      </c>
      <c r="B103" t="s">
        <v>80</v>
      </c>
      <c r="C103" s="1">
        <v>2207895</v>
      </c>
    </row>
    <row r="104" spans="1:3" x14ac:dyDescent="0.25">
      <c r="A104" t="s">
        <v>85</v>
      </c>
      <c r="B104" t="s">
        <v>112</v>
      </c>
      <c r="C104" s="1">
        <v>2207895</v>
      </c>
    </row>
    <row r="105" spans="1:3" x14ac:dyDescent="0.25">
      <c r="A105" t="s">
        <v>85</v>
      </c>
      <c r="B105" t="s">
        <v>82</v>
      </c>
      <c r="C105" s="1">
        <v>6580707.6699999999</v>
      </c>
    </row>
    <row r="106" spans="1:3" x14ac:dyDescent="0.25">
      <c r="A106" t="s">
        <v>85</v>
      </c>
      <c r="B106" t="s">
        <v>83</v>
      </c>
      <c r="C106" s="1">
        <v>4827392.83</v>
      </c>
    </row>
    <row r="107" spans="1:3" x14ac:dyDescent="0.25">
      <c r="A107" t="s">
        <v>85</v>
      </c>
      <c r="B107" t="s">
        <v>84</v>
      </c>
      <c r="C107" s="1">
        <v>4827392.83</v>
      </c>
    </row>
    <row r="108" spans="1:3" x14ac:dyDescent="0.25">
      <c r="A108" t="s">
        <v>85</v>
      </c>
      <c r="B108" t="s">
        <v>162</v>
      </c>
      <c r="C108" s="1">
        <v>1753314.84</v>
      </c>
    </row>
    <row r="109" spans="1:3" x14ac:dyDescent="0.25">
      <c r="A109" t="s">
        <v>85</v>
      </c>
      <c r="B109" t="s">
        <v>113</v>
      </c>
      <c r="C109" s="1">
        <v>66888826.630000003</v>
      </c>
    </row>
    <row r="110" spans="1:3" x14ac:dyDescent="0.25">
      <c r="A110" t="s">
        <v>85</v>
      </c>
      <c r="B110" t="s">
        <v>114</v>
      </c>
      <c r="C110" s="1">
        <v>49280170.039999999</v>
      </c>
    </row>
    <row r="111" spans="1:3" x14ac:dyDescent="0.25">
      <c r="A111" t="s">
        <v>85</v>
      </c>
      <c r="B111" t="s">
        <v>115</v>
      </c>
      <c r="C111" s="1">
        <v>49280170.039999999</v>
      </c>
    </row>
    <row r="112" spans="1:3" x14ac:dyDescent="0.25">
      <c r="A112" t="s">
        <v>85</v>
      </c>
      <c r="B112" t="s">
        <v>146</v>
      </c>
      <c r="C112" s="1">
        <v>49280170.039999999</v>
      </c>
    </row>
    <row r="113" spans="1:3" x14ac:dyDescent="0.25">
      <c r="A113" t="s">
        <v>85</v>
      </c>
      <c r="B113" t="s">
        <v>118</v>
      </c>
      <c r="C113" s="1">
        <v>17608656.59</v>
      </c>
    </row>
    <row r="114" spans="1:3" x14ac:dyDescent="0.25">
      <c r="A114" t="s">
        <v>85</v>
      </c>
      <c r="B114" t="s">
        <v>119</v>
      </c>
      <c r="C114" s="1">
        <v>17608656.59</v>
      </c>
    </row>
  </sheetData>
  <autoFilter ref="A4:H114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5.5703125" customWidth="1"/>
    <col min="2" max="2" width="101.42578125" customWidth="1"/>
    <col min="3" max="3" width="18" bestFit="1" customWidth="1"/>
    <col min="4" max="4" width="13" customWidth="1"/>
    <col min="5" max="5" width="17.42578125" bestFit="1" customWidth="1"/>
    <col min="6" max="6" width="18" bestFit="1" customWidth="1"/>
    <col min="7" max="7" width="13" customWidth="1"/>
    <col min="8" max="8" width="16.85546875" bestFit="1" customWidth="1"/>
    <col min="9" max="10" width="13" customWidth="1"/>
  </cols>
  <sheetData>
    <row r="1" spans="1:6" x14ac:dyDescent="0.25">
      <c r="A1" t="s">
        <v>163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6</v>
      </c>
      <c r="B5" t="s">
        <v>7</v>
      </c>
      <c r="C5" s="2">
        <v>567804331.85000002</v>
      </c>
      <c r="E5" s="2" t="s">
        <v>7</v>
      </c>
      <c r="F5" s="2">
        <f>C5</f>
        <v>567804331.85000002</v>
      </c>
    </row>
    <row r="6" spans="1:6" x14ac:dyDescent="0.25">
      <c r="A6" t="s">
        <v>6</v>
      </c>
      <c r="B6" t="s">
        <v>8</v>
      </c>
      <c r="C6" s="2">
        <v>562122542.17999995</v>
      </c>
      <c r="E6" s="2" t="s">
        <v>9</v>
      </c>
      <c r="F6" s="2">
        <f>C7</f>
        <v>50669718.950000003</v>
      </c>
    </row>
    <row r="7" spans="1:6" x14ac:dyDescent="0.25">
      <c r="A7" t="s">
        <v>6</v>
      </c>
      <c r="B7" t="s">
        <v>10</v>
      </c>
      <c r="C7" s="2">
        <v>50669718.950000003</v>
      </c>
      <c r="E7" s="2" t="s">
        <v>11</v>
      </c>
      <c r="F7" s="2">
        <f>C10</f>
        <v>4796964.93</v>
      </c>
    </row>
    <row r="8" spans="1:6" x14ac:dyDescent="0.25">
      <c r="A8" t="s">
        <v>6</v>
      </c>
      <c r="B8" t="s">
        <v>12</v>
      </c>
      <c r="C8" s="2">
        <v>42772169.119999997</v>
      </c>
      <c r="E8" s="2" t="s">
        <v>13</v>
      </c>
      <c r="F8" s="2">
        <f>C13</f>
        <v>5099384.0199999996</v>
      </c>
    </row>
    <row r="9" spans="1:6" x14ac:dyDescent="0.25">
      <c r="A9" t="s">
        <v>6</v>
      </c>
      <c r="B9" t="s">
        <v>14</v>
      </c>
      <c r="C9" s="2">
        <v>22715246.34</v>
      </c>
      <c r="E9" s="2" t="s">
        <v>15</v>
      </c>
      <c r="F9" s="2">
        <f>C15</f>
        <v>20056922.780000001</v>
      </c>
    </row>
    <row r="10" spans="1:6" x14ac:dyDescent="0.25">
      <c r="A10" t="s">
        <v>6</v>
      </c>
      <c r="B10" t="s">
        <v>16</v>
      </c>
      <c r="C10" s="2">
        <v>4796964.93</v>
      </c>
      <c r="E10" s="2" t="s">
        <v>121</v>
      </c>
      <c r="F10" s="2">
        <f>C27</f>
        <v>497558561.56</v>
      </c>
    </row>
    <row r="11" spans="1:6" x14ac:dyDescent="0.25">
      <c r="A11" t="s">
        <v>6</v>
      </c>
      <c r="B11" t="s">
        <v>18</v>
      </c>
      <c r="C11" s="2">
        <v>12818897.390000001</v>
      </c>
      <c r="E11" s="2" t="s">
        <v>19</v>
      </c>
      <c r="F11" s="2">
        <f>C31</f>
        <v>90295502.5</v>
      </c>
    </row>
    <row r="12" spans="1:6" x14ac:dyDescent="0.25">
      <c r="A12" t="s">
        <v>6</v>
      </c>
      <c r="B12" t="s">
        <v>22</v>
      </c>
      <c r="C12" s="2">
        <v>12818897.390000001</v>
      </c>
      <c r="E12" s="2" t="s">
        <v>21</v>
      </c>
      <c r="F12" s="2">
        <f>C43</f>
        <v>65299824.590000004</v>
      </c>
    </row>
    <row r="13" spans="1:6" x14ac:dyDescent="0.25">
      <c r="A13" t="s">
        <v>6</v>
      </c>
      <c r="B13" t="s">
        <v>24</v>
      </c>
      <c r="C13" s="2">
        <v>5099384.0199999996</v>
      </c>
      <c r="E13" s="2" t="s">
        <v>23</v>
      </c>
      <c r="F13" s="2">
        <f>SUM(C50,C51)</f>
        <v>71646946.859999999</v>
      </c>
    </row>
    <row r="14" spans="1:6" x14ac:dyDescent="0.25">
      <c r="A14" t="s">
        <v>6</v>
      </c>
      <c r="B14" t="s">
        <v>26</v>
      </c>
      <c r="C14" s="2">
        <v>20056922.780000001</v>
      </c>
      <c r="E14" s="2" t="s">
        <v>25</v>
      </c>
      <c r="F14" s="2">
        <f>C81</f>
        <v>5681789.6699999999</v>
      </c>
    </row>
    <row r="15" spans="1:6" x14ac:dyDescent="0.25">
      <c r="A15" t="s">
        <v>6</v>
      </c>
      <c r="B15" t="s">
        <v>27</v>
      </c>
      <c r="C15" s="2">
        <v>20056922.780000001</v>
      </c>
    </row>
    <row r="16" spans="1:6" x14ac:dyDescent="0.25">
      <c r="A16" t="s">
        <v>6</v>
      </c>
      <c r="B16" t="s">
        <v>28</v>
      </c>
      <c r="C16" s="2">
        <v>4232962.9400000004</v>
      </c>
    </row>
    <row r="17" spans="1:3" x14ac:dyDescent="0.25">
      <c r="A17" t="s">
        <v>6</v>
      </c>
      <c r="B17" t="s">
        <v>29</v>
      </c>
      <c r="C17" s="2">
        <v>3010560.8</v>
      </c>
    </row>
    <row r="18" spans="1:3" x14ac:dyDescent="0.25">
      <c r="A18" t="s">
        <v>6</v>
      </c>
      <c r="B18" t="s">
        <v>30</v>
      </c>
      <c r="C18" s="2">
        <v>1222402.1399999999</v>
      </c>
    </row>
    <row r="19" spans="1:3" x14ac:dyDescent="0.25">
      <c r="A19" t="s">
        <v>6</v>
      </c>
      <c r="B19" t="s">
        <v>148</v>
      </c>
      <c r="C19" s="2">
        <v>16234.34</v>
      </c>
    </row>
    <row r="20" spans="1:3" x14ac:dyDescent="0.25">
      <c r="A20" t="s">
        <v>6</v>
      </c>
      <c r="B20" t="s">
        <v>149</v>
      </c>
      <c r="C20" s="2">
        <v>1206167.8</v>
      </c>
    </row>
    <row r="21" spans="1:3" x14ac:dyDescent="0.25">
      <c r="A21" t="s">
        <v>6</v>
      </c>
      <c r="B21" t="s">
        <v>164</v>
      </c>
      <c r="C21" s="2">
        <v>3664586.89</v>
      </c>
    </row>
    <row r="22" spans="1:3" x14ac:dyDescent="0.25">
      <c r="A22" t="s">
        <v>6</v>
      </c>
      <c r="B22" t="s">
        <v>165</v>
      </c>
      <c r="C22" s="2">
        <v>3664586.89</v>
      </c>
    </row>
    <row r="23" spans="1:3" x14ac:dyDescent="0.25">
      <c r="A23" t="s">
        <v>6</v>
      </c>
      <c r="B23" t="s">
        <v>33</v>
      </c>
      <c r="C23" s="2">
        <v>8385040.0899999999</v>
      </c>
    </row>
    <row r="24" spans="1:3" x14ac:dyDescent="0.25">
      <c r="A24" t="s">
        <v>6</v>
      </c>
      <c r="B24" t="s">
        <v>34</v>
      </c>
      <c r="C24" s="2">
        <v>8385040.0899999999</v>
      </c>
    </row>
    <row r="25" spans="1:3" x14ac:dyDescent="0.25">
      <c r="A25" t="s">
        <v>6</v>
      </c>
      <c r="B25" t="s">
        <v>93</v>
      </c>
      <c r="C25" s="2">
        <v>8380233.6900000004</v>
      </c>
    </row>
    <row r="26" spans="1:3" x14ac:dyDescent="0.25">
      <c r="A26" t="s">
        <v>6</v>
      </c>
      <c r="B26" t="s">
        <v>35</v>
      </c>
      <c r="C26" s="2">
        <v>4806.3999999999996</v>
      </c>
    </row>
    <row r="27" spans="1:3" x14ac:dyDescent="0.25">
      <c r="A27" t="s">
        <v>6</v>
      </c>
      <c r="B27" t="s">
        <v>36</v>
      </c>
      <c r="C27" s="2">
        <v>497558561.56</v>
      </c>
    </row>
    <row r="28" spans="1:3" x14ac:dyDescent="0.25">
      <c r="A28" t="s">
        <v>6</v>
      </c>
      <c r="B28" t="s">
        <v>37</v>
      </c>
      <c r="C28" s="2">
        <v>497195444.08999997</v>
      </c>
    </row>
    <row r="29" spans="1:3" x14ac:dyDescent="0.25">
      <c r="A29" t="s">
        <v>6</v>
      </c>
      <c r="B29" t="s">
        <v>38</v>
      </c>
      <c r="C29" s="2">
        <v>165510110.09</v>
      </c>
    </row>
    <row r="30" spans="1:3" x14ac:dyDescent="0.25">
      <c r="A30" t="s">
        <v>6</v>
      </c>
      <c r="B30" t="s">
        <v>39</v>
      </c>
      <c r="C30" s="2">
        <v>93126787.530000001</v>
      </c>
    </row>
    <row r="31" spans="1:3" x14ac:dyDescent="0.25">
      <c r="A31" t="s">
        <v>6</v>
      </c>
      <c r="B31" t="s">
        <v>40</v>
      </c>
      <c r="C31" s="2">
        <v>90295502.5</v>
      </c>
    </row>
    <row r="32" spans="1:3" x14ac:dyDescent="0.25">
      <c r="A32" t="s">
        <v>6</v>
      </c>
      <c r="B32" t="s">
        <v>41</v>
      </c>
      <c r="C32" s="2">
        <v>2831285.03</v>
      </c>
    </row>
    <row r="33" spans="1:8" x14ac:dyDescent="0.25">
      <c r="A33" t="s">
        <v>6</v>
      </c>
      <c r="B33" t="s">
        <v>43</v>
      </c>
      <c r="C33" s="2">
        <v>977118.59</v>
      </c>
    </row>
    <row r="34" spans="1:8" x14ac:dyDescent="0.25">
      <c r="A34" t="s">
        <v>6</v>
      </c>
      <c r="B34" t="s">
        <v>98</v>
      </c>
      <c r="C34" s="2">
        <v>15024.86</v>
      </c>
    </row>
    <row r="35" spans="1:8" x14ac:dyDescent="0.25">
      <c r="A35" t="s">
        <v>6</v>
      </c>
      <c r="B35" t="s">
        <v>100</v>
      </c>
      <c r="C35" s="2">
        <v>962093.73</v>
      </c>
    </row>
    <row r="36" spans="1:8" x14ac:dyDescent="0.25">
      <c r="A36" t="s">
        <v>6</v>
      </c>
      <c r="B36" t="s">
        <v>46</v>
      </c>
      <c r="C36" s="2">
        <v>62651918.609999999</v>
      </c>
    </row>
    <row r="37" spans="1:8" x14ac:dyDescent="0.25">
      <c r="A37" t="s">
        <v>6</v>
      </c>
      <c r="B37" t="s">
        <v>101</v>
      </c>
      <c r="C37" s="2">
        <v>3000615.06</v>
      </c>
    </row>
    <row r="38" spans="1:8" x14ac:dyDescent="0.25">
      <c r="A38" t="s">
        <v>6</v>
      </c>
      <c r="B38" t="s">
        <v>102</v>
      </c>
      <c r="C38" s="2">
        <v>5273091.1500000004</v>
      </c>
    </row>
    <row r="39" spans="1:8" x14ac:dyDescent="0.25">
      <c r="A39" t="s">
        <v>6</v>
      </c>
      <c r="B39" t="s">
        <v>47</v>
      </c>
      <c r="C39" s="2">
        <v>233717.88</v>
      </c>
    </row>
    <row r="40" spans="1:8" x14ac:dyDescent="0.25">
      <c r="A40" t="s">
        <v>6</v>
      </c>
      <c r="B40" t="s">
        <v>48</v>
      </c>
      <c r="C40" s="2">
        <v>246861.27</v>
      </c>
    </row>
    <row r="41" spans="1:8" x14ac:dyDescent="0.25">
      <c r="A41" t="s">
        <v>6</v>
      </c>
      <c r="B41" t="s">
        <v>49</v>
      </c>
      <c r="C41" s="2">
        <v>81420752.879999995</v>
      </c>
    </row>
    <row r="42" spans="1:8" x14ac:dyDescent="0.25">
      <c r="A42" t="s">
        <v>6</v>
      </c>
      <c r="B42" t="s">
        <v>50</v>
      </c>
      <c r="C42" s="2">
        <v>79393890.120000005</v>
      </c>
    </row>
    <row r="43" spans="1:8" x14ac:dyDescent="0.25">
      <c r="A43" t="s">
        <v>6</v>
      </c>
      <c r="B43" t="s">
        <v>51</v>
      </c>
      <c r="C43" s="2">
        <v>65299824.590000004</v>
      </c>
    </row>
    <row r="44" spans="1:8" x14ac:dyDescent="0.25">
      <c r="A44" t="s">
        <v>6</v>
      </c>
      <c r="B44" t="s">
        <v>52</v>
      </c>
      <c r="C44" s="2">
        <v>13144674.33</v>
      </c>
    </row>
    <row r="45" spans="1:8" x14ac:dyDescent="0.25">
      <c r="A45" t="s">
        <v>6</v>
      </c>
      <c r="B45" t="s">
        <v>151</v>
      </c>
      <c r="C45" s="2">
        <v>679428.71</v>
      </c>
    </row>
    <row r="46" spans="1:8" x14ac:dyDescent="0.25">
      <c r="A46" t="s">
        <v>6</v>
      </c>
      <c r="B46" t="s">
        <v>54</v>
      </c>
      <c r="C46" s="2">
        <v>269962.49</v>
      </c>
    </row>
    <row r="47" spans="1:8" x14ac:dyDescent="0.25">
      <c r="A47" t="s">
        <v>6</v>
      </c>
      <c r="B47" t="s">
        <v>103</v>
      </c>
      <c r="C47" s="2">
        <v>1289051.5</v>
      </c>
      <c r="H47" s="1"/>
    </row>
    <row r="48" spans="1:8" x14ac:dyDescent="0.25">
      <c r="A48" t="s">
        <v>6</v>
      </c>
      <c r="B48" t="s">
        <v>124</v>
      </c>
      <c r="C48" s="2">
        <v>737811.26</v>
      </c>
      <c r="H48" s="1"/>
    </row>
    <row r="49" spans="1:3" x14ac:dyDescent="0.25">
      <c r="A49" t="s">
        <v>6</v>
      </c>
      <c r="B49" t="s">
        <v>56</v>
      </c>
      <c r="C49" s="2">
        <v>250264581.12</v>
      </c>
    </row>
    <row r="50" spans="1:3" x14ac:dyDescent="0.25">
      <c r="A50" t="s">
        <v>6</v>
      </c>
      <c r="B50" t="s">
        <v>57</v>
      </c>
      <c r="C50" s="2">
        <v>53214537.979999997</v>
      </c>
    </row>
    <row r="51" spans="1:3" x14ac:dyDescent="0.25">
      <c r="A51" t="s">
        <v>6</v>
      </c>
      <c r="B51" t="s">
        <v>58</v>
      </c>
      <c r="C51" s="2">
        <v>18432408.879999999</v>
      </c>
    </row>
    <row r="52" spans="1:3" x14ac:dyDescent="0.25">
      <c r="A52" t="s">
        <v>6</v>
      </c>
      <c r="B52" t="s">
        <v>166</v>
      </c>
      <c r="C52" s="2">
        <v>178617634.25999999</v>
      </c>
    </row>
    <row r="53" spans="1:3" x14ac:dyDescent="0.25">
      <c r="A53" t="s">
        <v>6</v>
      </c>
      <c r="B53" t="s">
        <v>167</v>
      </c>
      <c r="C53" s="2">
        <v>6237.47</v>
      </c>
    </row>
    <row r="54" spans="1:3" x14ac:dyDescent="0.25">
      <c r="A54" t="s">
        <v>6</v>
      </c>
      <c r="B54" t="s">
        <v>59</v>
      </c>
      <c r="C54" s="2">
        <v>356880</v>
      </c>
    </row>
    <row r="55" spans="1:3" x14ac:dyDescent="0.25">
      <c r="A55" t="s">
        <v>6</v>
      </c>
      <c r="B55" t="s">
        <v>105</v>
      </c>
      <c r="C55" s="2">
        <v>356880</v>
      </c>
    </row>
    <row r="56" spans="1:3" x14ac:dyDescent="0.25">
      <c r="A56" t="s">
        <v>6</v>
      </c>
      <c r="B56" t="s">
        <v>106</v>
      </c>
      <c r="C56" s="2">
        <v>356880</v>
      </c>
    </row>
    <row r="57" spans="1:3" x14ac:dyDescent="0.25">
      <c r="A57" t="s">
        <v>6</v>
      </c>
      <c r="B57" t="s">
        <v>63</v>
      </c>
      <c r="C57" s="2">
        <v>5509221.5800000001</v>
      </c>
    </row>
    <row r="58" spans="1:3" x14ac:dyDescent="0.25">
      <c r="A58" t="s">
        <v>6</v>
      </c>
      <c r="B58" t="s">
        <v>64</v>
      </c>
      <c r="C58" s="2">
        <v>2840619.7</v>
      </c>
    </row>
    <row r="59" spans="1:3" x14ac:dyDescent="0.25">
      <c r="A59" t="s">
        <v>6</v>
      </c>
      <c r="B59" t="s">
        <v>65</v>
      </c>
      <c r="C59" s="2">
        <v>793878.79</v>
      </c>
    </row>
    <row r="60" spans="1:3" x14ac:dyDescent="0.25">
      <c r="A60" t="s">
        <v>6</v>
      </c>
      <c r="B60" t="s">
        <v>128</v>
      </c>
      <c r="C60" s="2">
        <v>178428.66</v>
      </c>
    </row>
    <row r="61" spans="1:3" x14ac:dyDescent="0.25">
      <c r="A61" t="s">
        <v>6</v>
      </c>
      <c r="B61" t="s">
        <v>129</v>
      </c>
      <c r="C61" s="2">
        <v>37279.31</v>
      </c>
    </row>
    <row r="62" spans="1:3" x14ac:dyDescent="0.25">
      <c r="A62" t="s">
        <v>6</v>
      </c>
      <c r="B62" t="s">
        <v>130</v>
      </c>
      <c r="C62" s="2">
        <v>184655.21</v>
      </c>
    </row>
    <row r="63" spans="1:3" x14ac:dyDescent="0.25">
      <c r="A63" t="s">
        <v>6</v>
      </c>
      <c r="B63" t="s">
        <v>131</v>
      </c>
      <c r="C63" s="2">
        <v>393515.61</v>
      </c>
    </row>
    <row r="64" spans="1:3" x14ac:dyDescent="0.25">
      <c r="A64" t="s">
        <v>6</v>
      </c>
      <c r="B64" t="s">
        <v>66</v>
      </c>
      <c r="C64" s="2">
        <v>2007756.48</v>
      </c>
    </row>
    <row r="65" spans="1:3" x14ac:dyDescent="0.25">
      <c r="A65" t="s">
        <v>6</v>
      </c>
      <c r="B65" t="s">
        <v>132</v>
      </c>
      <c r="C65" s="2">
        <v>1809093.9</v>
      </c>
    </row>
    <row r="66" spans="1:3" x14ac:dyDescent="0.25">
      <c r="A66" t="s">
        <v>6</v>
      </c>
      <c r="B66" t="s">
        <v>133</v>
      </c>
      <c r="C66" s="2">
        <v>65030.06</v>
      </c>
    </row>
    <row r="67" spans="1:3" x14ac:dyDescent="0.25">
      <c r="A67" t="s">
        <v>6</v>
      </c>
      <c r="B67" t="s">
        <v>134</v>
      </c>
      <c r="C67" s="2">
        <v>133632.51999999999</v>
      </c>
    </row>
    <row r="68" spans="1:3" x14ac:dyDescent="0.25">
      <c r="A68" t="s">
        <v>6</v>
      </c>
      <c r="B68" t="s">
        <v>67</v>
      </c>
      <c r="C68" s="2">
        <v>38984.43</v>
      </c>
    </row>
    <row r="69" spans="1:3" x14ac:dyDescent="0.25">
      <c r="A69" t="s">
        <v>6</v>
      </c>
      <c r="B69" t="s">
        <v>68</v>
      </c>
      <c r="C69" s="2">
        <v>51977.75</v>
      </c>
    </row>
    <row r="70" spans="1:3" x14ac:dyDescent="0.25">
      <c r="A70" t="s">
        <v>6</v>
      </c>
      <c r="B70" t="s">
        <v>70</v>
      </c>
      <c r="C70" s="2">
        <v>51977.75</v>
      </c>
    </row>
    <row r="71" spans="1:3" x14ac:dyDescent="0.25">
      <c r="A71" t="s">
        <v>6</v>
      </c>
      <c r="B71" t="s">
        <v>71</v>
      </c>
      <c r="C71" s="2">
        <v>51977.75</v>
      </c>
    </row>
    <row r="72" spans="1:3" x14ac:dyDescent="0.25">
      <c r="A72" t="s">
        <v>6</v>
      </c>
      <c r="B72" t="s">
        <v>72</v>
      </c>
      <c r="C72" s="2">
        <v>2491356.38</v>
      </c>
    </row>
    <row r="73" spans="1:3" x14ac:dyDescent="0.25">
      <c r="A73" t="s">
        <v>6</v>
      </c>
      <c r="B73" t="s">
        <v>73</v>
      </c>
      <c r="C73" s="2">
        <v>2489980.7599999998</v>
      </c>
    </row>
    <row r="74" spans="1:3" x14ac:dyDescent="0.25">
      <c r="A74" t="s">
        <v>6</v>
      </c>
      <c r="B74" t="s">
        <v>135</v>
      </c>
      <c r="C74" s="2">
        <v>1983888.86</v>
      </c>
    </row>
    <row r="75" spans="1:3" x14ac:dyDescent="0.25">
      <c r="A75" t="s">
        <v>6</v>
      </c>
      <c r="B75" t="s">
        <v>136</v>
      </c>
      <c r="C75" s="2">
        <v>290384.40000000002</v>
      </c>
    </row>
    <row r="76" spans="1:3" x14ac:dyDescent="0.25">
      <c r="A76" t="s">
        <v>6</v>
      </c>
      <c r="B76" t="s">
        <v>137</v>
      </c>
      <c r="C76" s="2">
        <v>215707.5</v>
      </c>
    </row>
    <row r="77" spans="1:3" x14ac:dyDescent="0.25">
      <c r="A77" t="s">
        <v>6</v>
      </c>
      <c r="B77" t="s">
        <v>111</v>
      </c>
      <c r="C77" s="2">
        <v>1375.62</v>
      </c>
    </row>
    <row r="78" spans="1:3" x14ac:dyDescent="0.25">
      <c r="A78" t="s">
        <v>6</v>
      </c>
      <c r="B78" t="s">
        <v>153</v>
      </c>
      <c r="C78" s="2">
        <v>1375.62</v>
      </c>
    </row>
    <row r="79" spans="1:3" x14ac:dyDescent="0.25">
      <c r="A79" t="s">
        <v>6</v>
      </c>
      <c r="B79" t="s">
        <v>74</v>
      </c>
      <c r="C79" s="2">
        <v>125267.75</v>
      </c>
    </row>
    <row r="80" spans="1:3" x14ac:dyDescent="0.25">
      <c r="A80" t="s">
        <v>6</v>
      </c>
      <c r="B80" t="s">
        <v>154</v>
      </c>
      <c r="C80" s="2">
        <v>125267.75</v>
      </c>
    </row>
    <row r="81" spans="1:3" x14ac:dyDescent="0.25">
      <c r="A81" t="s">
        <v>6</v>
      </c>
      <c r="B81" t="s">
        <v>75</v>
      </c>
      <c r="C81" s="2">
        <v>5681789.6699999999</v>
      </c>
    </row>
    <row r="82" spans="1:3" x14ac:dyDescent="0.25">
      <c r="A82" t="s">
        <v>6</v>
      </c>
      <c r="B82" t="s">
        <v>143</v>
      </c>
      <c r="C82" s="2">
        <v>3251086.85</v>
      </c>
    </row>
    <row r="83" spans="1:3" x14ac:dyDescent="0.25">
      <c r="A83" t="s">
        <v>6</v>
      </c>
      <c r="B83" t="s">
        <v>144</v>
      </c>
      <c r="C83" s="2">
        <v>3251086.85</v>
      </c>
    </row>
    <row r="84" spans="1:3" x14ac:dyDescent="0.25">
      <c r="A84" t="s">
        <v>6</v>
      </c>
      <c r="B84" t="s">
        <v>78</v>
      </c>
      <c r="C84" s="2">
        <v>2430702.8199999998</v>
      </c>
    </row>
    <row r="85" spans="1:3" x14ac:dyDescent="0.25">
      <c r="A85" t="s">
        <v>6</v>
      </c>
      <c r="B85" t="s">
        <v>79</v>
      </c>
      <c r="C85" s="2">
        <v>415048.7</v>
      </c>
    </row>
    <row r="86" spans="1:3" x14ac:dyDescent="0.25">
      <c r="A86" t="s">
        <v>6</v>
      </c>
      <c r="B86" t="s">
        <v>80</v>
      </c>
      <c r="C86" s="2">
        <v>415048.7</v>
      </c>
    </row>
    <row r="87" spans="1:3" x14ac:dyDescent="0.25">
      <c r="A87" t="s">
        <v>6</v>
      </c>
      <c r="B87" t="s">
        <v>112</v>
      </c>
      <c r="C87" s="2">
        <v>214200</v>
      </c>
    </row>
    <row r="88" spans="1:3" x14ac:dyDescent="0.25">
      <c r="A88" t="s">
        <v>6</v>
      </c>
      <c r="B88" t="s">
        <v>138</v>
      </c>
      <c r="C88" s="2">
        <v>200848.7</v>
      </c>
    </row>
    <row r="89" spans="1:3" x14ac:dyDescent="0.25">
      <c r="A89" t="s">
        <v>6</v>
      </c>
      <c r="B89" t="s">
        <v>82</v>
      </c>
      <c r="C89" s="2">
        <v>2015654.12</v>
      </c>
    </row>
    <row r="90" spans="1:3" x14ac:dyDescent="0.25">
      <c r="A90" t="s">
        <v>6</v>
      </c>
      <c r="B90" t="s">
        <v>83</v>
      </c>
      <c r="C90" s="2">
        <v>2015654.12</v>
      </c>
    </row>
    <row r="91" spans="1:3" x14ac:dyDescent="0.25">
      <c r="A91" t="s">
        <v>6</v>
      </c>
      <c r="B91" t="s">
        <v>139</v>
      </c>
      <c r="C91" s="2">
        <v>366000</v>
      </c>
    </row>
    <row r="92" spans="1:3" x14ac:dyDescent="0.25">
      <c r="A92" t="s">
        <v>6</v>
      </c>
      <c r="B92" t="s">
        <v>84</v>
      </c>
      <c r="C92" s="2">
        <v>1649654.12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6.5703125" customWidth="1"/>
    <col min="2" max="2" width="102.5703125" customWidth="1"/>
    <col min="3" max="3" width="19.5703125" bestFit="1" customWidth="1"/>
    <col min="4" max="4" width="13" customWidth="1"/>
    <col min="5" max="5" width="17.42578125" bestFit="1" customWidth="1"/>
    <col min="6" max="6" width="19.5703125" bestFit="1" customWidth="1"/>
    <col min="7" max="7" width="16.85546875" bestFit="1" customWidth="1"/>
    <col min="8" max="10" width="13" customWidth="1"/>
  </cols>
  <sheetData>
    <row r="1" spans="1:6" x14ac:dyDescent="0.25">
      <c r="A1" t="s">
        <v>163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85</v>
      </c>
      <c r="B5" t="s">
        <v>7</v>
      </c>
      <c r="C5" s="2">
        <v>1197747857.6500001</v>
      </c>
      <c r="E5" s="2" t="s">
        <v>7</v>
      </c>
      <c r="F5" s="2">
        <f>C5</f>
        <v>1197747857.6500001</v>
      </c>
    </row>
    <row r="6" spans="1:6" x14ac:dyDescent="0.25">
      <c r="A6" t="s">
        <v>85</v>
      </c>
      <c r="B6" t="s">
        <v>8</v>
      </c>
      <c r="C6" s="2">
        <v>1102682035.3599999</v>
      </c>
      <c r="E6" s="2" t="s">
        <v>9</v>
      </c>
      <c r="F6" s="2">
        <f>C7</f>
        <v>276635477.02999997</v>
      </c>
    </row>
    <row r="7" spans="1:6" x14ac:dyDescent="0.25">
      <c r="A7" t="s">
        <v>85</v>
      </c>
      <c r="B7" t="s">
        <v>10</v>
      </c>
      <c r="C7" s="2">
        <v>276635477.02999997</v>
      </c>
      <c r="E7" s="2" t="s">
        <v>11</v>
      </c>
      <c r="F7" s="2">
        <f>C10</f>
        <v>88776684.189999998</v>
      </c>
    </row>
    <row r="8" spans="1:6" x14ac:dyDescent="0.25">
      <c r="A8" t="s">
        <v>85</v>
      </c>
      <c r="B8" t="s">
        <v>12</v>
      </c>
      <c r="C8" s="2">
        <v>253784427.09999999</v>
      </c>
      <c r="E8" s="2" t="s">
        <v>13</v>
      </c>
      <c r="F8" s="2">
        <f>C14</f>
        <v>17838869.460000001</v>
      </c>
    </row>
    <row r="9" spans="1:6" x14ac:dyDescent="0.25">
      <c r="A9" t="s">
        <v>85</v>
      </c>
      <c r="B9" t="s">
        <v>14</v>
      </c>
      <c r="C9" s="2">
        <v>139869390.56999999</v>
      </c>
      <c r="E9" s="2" t="s">
        <v>15</v>
      </c>
      <c r="F9" s="2">
        <f>C16</f>
        <v>113915036.53</v>
      </c>
    </row>
    <row r="10" spans="1:6" x14ac:dyDescent="0.25">
      <c r="A10" t="s">
        <v>85</v>
      </c>
      <c r="B10" t="s">
        <v>16</v>
      </c>
      <c r="C10" s="2">
        <v>88776684.189999998</v>
      </c>
      <c r="E10" s="2" t="s">
        <v>121</v>
      </c>
      <c r="F10" s="2">
        <f>C40</f>
        <v>705224647.07000005</v>
      </c>
    </row>
    <row r="11" spans="1:6" x14ac:dyDescent="0.25">
      <c r="A11" t="s">
        <v>85</v>
      </c>
      <c r="B11" t="s">
        <v>18</v>
      </c>
      <c r="C11" s="2">
        <v>33253836.920000002</v>
      </c>
      <c r="E11" s="2" t="s">
        <v>19</v>
      </c>
      <c r="F11" s="2">
        <f>C44</f>
        <v>85437186.599999994</v>
      </c>
    </row>
    <row r="12" spans="1:6" x14ac:dyDescent="0.25">
      <c r="A12" t="s">
        <v>85</v>
      </c>
      <c r="B12" t="s">
        <v>20</v>
      </c>
      <c r="C12" s="2">
        <v>30638661.07</v>
      </c>
      <c r="E12" s="2" t="s">
        <v>21</v>
      </c>
      <c r="F12" s="2">
        <f>C59</f>
        <v>409469605.56</v>
      </c>
    </row>
    <row r="13" spans="1:6" x14ac:dyDescent="0.25">
      <c r="A13" t="s">
        <v>85</v>
      </c>
      <c r="B13" t="s">
        <v>22</v>
      </c>
      <c r="C13" s="2">
        <v>2615175.85</v>
      </c>
      <c r="E13" s="2" t="s">
        <v>23</v>
      </c>
      <c r="F13" s="2">
        <f>SUM(C66,C67)</f>
        <v>115283243.15000001</v>
      </c>
    </row>
    <row r="14" spans="1:6" x14ac:dyDescent="0.25">
      <c r="A14" t="s">
        <v>85</v>
      </c>
      <c r="B14" t="s">
        <v>24</v>
      </c>
      <c r="C14" s="2">
        <v>17838869.460000001</v>
      </c>
      <c r="E14" s="2" t="s">
        <v>25</v>
      </c>
      <c r="F14" s="2">
        <f>C107</f>
        <v>19678591.710000001</v>
      </c>
    </row>
    <row r="15" spans="1:6" x14ac:dyDescent="0.25">
      <c r="A15" t="s">
        <v>85</v>
      </c>
      <c r="B15" t="s">
        <v>26</v>
      </c>
      <c r="C15" s="2">
        <v>113915036.53</v>
      </c>
    </row>
    <row r="16" spans="1:6" x14ac:dyDescent="0.25">
      <c r="A16" t="s">
        <v>85</v>
      </c>
      <c r="B16" t="s">
        <v>27</v>
      </c>
      <c r="C16" s="2">
        <v>113915036.53</v>
      </c>
    </row>
    <row r="17" spans="1:3" x14ac:dyDescent="0.25">
      <c r="A17" t="s">
        <v>85</v>
      </c>
      <c r="B17" t="s">
        <v>28</v>
      </c>
      <c r="C17" s="2">
        <v>22851049.93</v>
      </c>
    </row>
    <row r="18" spans="1:3" x14ac:dyDescent="0.25">
      <c r="A18" t="s">
        <v>85</v>
      </c>
      <c r="B18" t="s">
        <v>29</v>
      </c>
      <c r="C18" s="2">
        <v>9115855.6699999999</v>
      </c>
    </row>
    <row r="19" spans="1:3" x14ac:dyDescent="0.25">
      <c r="A19" t="s">
        <v>85</v>
      </c>
      <c r="B19" t="s">
        <v>30</v>
      </c>
      <c r="C19" s="2">
        <v>13735194.26</v>
      </c>
    </row>
    <row r="20" spans="1:3" x14ac:dyDescent="0.25">
      <c r="A20" t="s">
        <v>85</v>
      </c>
      <c r="B20" t="s">
        <v>155</v>
      </c>
      <c r="C20" s="2">
        <v>7669.68</v>
      </c>
    </row>
    <row r="21" spans="1:3" x14ac:dyDescent="0.25">
      <c r="A21" t="s">
        <v>85</v>
      </c>
      <c r="B21" t="s">
        <v>149</v>
      </c>
      <c r="C21" s="2">
        <v>13727524.58</v>
      </c>
    </row>
    <row r="22" spans="1:3" x14ac:dyDescent="0.25">
      <c r="A22" t="s">
        <v>85</v>
      </c>
      <c r="B22" t="s">
        <v>31</v>
      </c>
      <c r="C22" s="2">
        <v>42375730.100000001</v>
      </c>
    </row>
    <row r="23" spans="1:3" x14ac:dyDescent="0.25">
      <c r="A23" t="s">
        <v>85</v>
      </c>
      <c r="B23" t="s">
        <v>86</v>
      </c>
      <c r="C23" s="2">
        <v>26931312.850000001</v>
      </c>
    </row>
    <row r="24" spans="1:3" x14ac:dyDescent="0.25">
      <c r="A24" t="s">
        <v>85</v>
      </c>
      <c r="B24" t="s">
        <v>87</v>
      </c>
      <c r="C24" s="2">
        <v>26931312.850000001</v>
      </c>
    </row>
    <row r="25" spans="1:3" x14ac:dyDescent="0.25">
      <c r="A25" t="s">
        <v>85</v>
      </c>
      <c r="B25" t="s">
        <v>168</v>
      </c>
      <c r="C25" s="2">
        <v>179136.3</v>
      </c>
    </row>
    <row r="26" spans="1:3" x14ac:dyDescent="0.25">
      <c r="A26" t="s">
        <v>85</v>
      </c>
      <c r="B26" t="s">
        <v>88</v>
      </c>
      <c r="C26" s="2">
        <v>25530127.27</v>
      </c>
    </row>
    <row r="27" spans="1:3" x14ac:dyDescent="0.25">
      <c r="A27" t="s">
        <v>85</v>
      </c>
      <c r="B27" t="s">
        <v>89</v>
      </c>
      <c r="C27" s="2">
        <v>1173570.18</v>
      </c>
    </row>
    <row r="28" spans="1:3" x14ac:dyDescent="0.25">
      <c r="A28" t="s">
        <v>85</v>
      </c>
      <c r="B28" t="s">
        <v>140</v>
      </c>
      <c r="C28" s="2">
        <v>48479.1</v>
      </c>
    </row>
    <row r="29" spans="1:3" x14ac:dyDescent="0.25">
      <c r="A29" t="s">
        <v>85</v>
      </c>
      <c r="B29" t="s">
        <v>32</v>
      </c>
      <c r="C29" s="2">
        <v>15444417.25</v>
      </c>
    </row>
    <row r="30" spans="1:3" x14ac:dyDescent="0.25">
      <c r="A30" t="s">
        <v>85</v>
      </c>
      <c r="B30" t="s">
        <v>33</v>
      </c>
      <c r="C30" s="2">
        <v>37275806.780000001</v>
      </c>
    </row>
    <row r="31" spans="1:3" x14ac:dyDescent="0.25">
      <c r="A31" t="s">
        <v>85</v>
      </c>
      <c r="B31" t="s">
        <v>34</v>
      </c>
      <c r="C31" s="2">
        <v>36855801.780000001</v>
      </c>
    </row>
    <row r="32" spans="1:3" x14ac:dyDescent="0.25">
      <c r="A32" t="s">
        <v>85</v>
      </c>
      <c r="B32" t="s">
        <v>92</v>
      </c>
      <c r="C32" s="2">
        <v>78.91</v>
      </c>
    </row>
    <row r="33" spans="1:3" x14ac:dyDescent="0.25">
      <c r="A33" t="s">
        <v>85</v>
      </c>
      <c r="B33" t="s">
        <v>93</v>
      </c>
      <c r="C33" s="2">
        <v>10241265.1</v>
      </c>
    </row>
    <row r="34" spans="1:3" x14ac:dyDescent="0.25">
      <c r="A34" t="s">
        <v>85</v>
      </c>
      <c r="B34" t="s">
        <v>94</v>
      </c>
      <c r="C34" s="2">
        <v>26614457.77</v>
      </c>
    </row>
    <row r="35" spans="1:3" x14ac:dyDescent="0.25">
      <c r="A35" t="s">
        <v>85</v>
      </c>
      <c r="B35" t="s">
        <v>156</v>
      </c>
      <c r="C35" s="2">
        <v>420005</v>
      </c>
    </row>
    <row r="36" spans="1:3" x14ac:dyDescent="0.25">
      <c r="A36" t="s">
        <v>85</v>
      </c>
      <c r="B36" t="s">
        <v>95</v>
      </c>
      <c r="C36" s="2">
        <v>7368830.8600000003</v>
      </c>
    </row>
    <row r="37" spans="1:3" x14ac:dyDescent="0.25">
      <c r="A37" t="s">
        <v>85</v>
      </c>
      <c r="B37" t="s">
        <v>96</v>
      </c>
      <c r="C37" s="2">
        <v>34086.959999999999</v>
      </c>
    </row>
    <row r="38" spans="1:3" x14ac:dyDescent="0.25">
      <c r="A38" t="s">
        <v>85</v>
      </c>
      <c r="B38" t="s">
        <v>141</v>
      </c>
      <c r="C38" s="2">
        <v>4726918.0199999996</v>
      </c>
    </row>
    <row r="39" spans="1:3" x14ac:dyDescent="0.25">
      <c r="A39" t="s">
        <v>85</v>
      </c>
      <c r="B39" t="s">
        <v>142</v>
      </c>
      <c r="C39" s="2">
        <v>2607825.88</v>
      </c>
    </row>
    <row r="40" spans="1:3" x14ac:dyDescent="0.25">
      <c r="A40" t="s">
        <v>85</v>
      </c>
      <c r="B40" t="s">
        <v>36</v>
      </c>
      <c r="C40" s="2">
        <v>705224647.07000005</v>
      </c>
    </row>
    <row r="41" spans="1:3" x14ac:dyDescent="0.25">
      <c r="A41" t="s">
        <v>85</v>
      </c>
      <c r="B41" t="s">
        <v>37</v>
      </c>
      <c r="C41" s="2">
        <v>704709221.09000003</v>
      </c>
    </row>
    <row r="42" spans="1:3" x14ac:dyDescent="0.25">
      <c r="A42" t="s">
        <v>85</v>
      </c>
      <c r="B42" t="s">
        <v>38</v>
      </c>
      <c r="C42" s="2">
        <v>155114415.13</v>
      </c>
    </row>
    <row r="43" spans="1:3" x14ac:dyDescent="0.25">
      <c r="A43" t="s">
        <v>85</v>
      </c>
      <c r="B43" t="s">
        <v>39</v>
      </c>
      <c r="C43" s="2">
        <v>93204555.180000007</v>
      </c>
    </row>
    <row r="44" spans="1:3" x14ac:dyDescent="0.25">
      <c r="A44" t="s">
        <v>85</v>
      </c>
      <c r="B44" t="s">
        <v>40</v>
      </c>
      <c r="C44" s="2">
        <v>85437186.599999994</v>
      </c>
    </row>
    <row r="45" spans="1:3" x14ac:dyDescent="0.25">
      <c r="A45" t="s">
        <v>85</v>
      </c>
      <c r="B45" t="s">
        <v>150</v>
      </c>
      <c r="C45" s="2">
        <v>3797735.34</v>
      </c>
    </row>
    <row r="46" spans="1:3" x14ac:dyDescent="0.25">
      <c r="A46" t="s">
        <v>85</v>
      </c>
      <c r="B46" t="s">
        <v>169</v>
      </c>
      <c r="C46" s="2">
        <v>3918253.08</v>
      </c>
    </row>
    <row r="47" spans="1:3" x14ac:dyDescent="0.25">
      <c r="A47" t="s">
        <v>85</v>
      </c>
      <c r="B47" t="s">
        <v>41</v>
      </c>
      <c r="C47" s="2">
        <v>51380.160000000003</v>
      </c>
    </row>
    <row r="48" spans="1:3" x14ac:dyDescent="0.25">
      <c r="A48" t="s">
        <v>85</v>
      </c>
      <c r="B48" t="s">
        <v>43</v>
      </c>
      <c r="C48" s="2">
        <v>5430774.9100000001</v>
      </c>
    </row>
    <row r="49" spans="1:7" x14ac:dyDescent="0.25">
      <c r="A49" t="s">
        <v>85</v>
      </c>
      <c r="B49" t="s">
        <v>98</v>
      </c>
      <c r="C49" s="2">
        <v>1480.96</v>
      </c>
    </row>
    <row r="50" spans="1:7" x14ac:dyDescent="0.25">
      <c r="A50" t="s">
        <v>85</v>
      </c>
      <c r="B50" t="s">
        <v>99</v>
      </c>
      <c r="C50" s="2">
        <v>4436749.4800000004</v>
      </c>
    </row>
    <row r="51" spans="1:7" x14ac:dyDescent="0.25">
      <c r="A51" t="s">
        <v>85</v>
      </c>
      <c r="B51" t="s">
        <v>100</v>
      </c>
      <c r="C51" s="2">
        <v>992544.47</v>
      </c>
    </row>
    <row r="52" spans="1:7" x14ac:dyDescent="0.25">
      <c r="A52" t="s">
        <v>85</v>
      </c>
      <c r="B52" t="s">
        <v>46</v>
      </c>
      <c r="C52" s="2">
        <v>41946864.700000003</v>
      </c>
    </row>
    <row r="53" spans="1:7" x14ac:dyDescent="0.25">
      <c r="A53" t="s">
        <v>85</v>
      </c>
      <c r="B53" t="s">
        <v>101</v>
      </c>
      <c r="C53" s="2">
        <v>2552235.9500000002</v>
      </c>
    </row>
    <row r="54" spans="1:7" x14ac:dyDescent="0.25">
      <c r="A54" t="s">
        <v>85</v>
      </c>
      <c r="B54" t="s">
        <v>102</v>
      </c>
      <c r="C54" s="2">
        <v>8748611.1500000004</v>
      </c>
    </row>
    <row r="55" spans="1:7" x14ac:dyDescent="0.25">
      <c r="A55" t="s">
        <v>85</v>
      </c>
      <c r="B55" t="s">
        <v>47</v>
      </c>
      <c r="C55" s="2">
        <v>1464997.92</v>
      </c>
    </row>
    <row r="56" spans="1:7" x14ac:dyDescent="0.25">
      <c r="A56" t="s">
        <v>85</v>
      </c>
      <c r="B56" t="s">
        <v>48</v>
      </c>
      <c r="C56" s="2">
        <v>1766375.32</v>
      </c>
    </row>
    <row r="57" spans="1:7" x14ac:dyDescent="0.25">
      <c r="A57" t="s">
        <v>85</v>
      </c>
      <c r="B57" t="s">
        <v>49</v>
      </c>
      <c r="C57" s="2">
        <v>434311562.81</v>
      </c>
    </row>
    <row r="58" spans="1:7" x14ac:dyDescent="0.25">
      <c r="A58" t="s">
        <v>85</v>
      </c>
      <c r="B58" t="s">
        <v>50</v>
      </c>
      <c r="C58" s="2">
        <v>431500885.38</v>
      </c>
    </row>
    <row r="59" spans="1:7" x14ac:dyDescent="0.25">
      <c r="A59" t="s">
        <v>85</v>
      </c>
      <c r="B59" t="s">
        <v>51</v>
      </c>
      <c r="C59" s="2">
        <v>409469605.56</v>
      </c>
    </row>
    <row r="60" spans="1:7" x14ac:dyDescent="0.25">
      <c r="A60" t="s">
        <v>85</v>
      </c>
      <c r="B60" t="s">
        <v>52</v>
      </c>
      <c r="C60" s="2">
        <v>16837716.52</v>
      </c>
    </row>
    <row r="61" spans="1:7" x14ac:dyDescent="0.25">
      <c r="A61" t="s">
        <v>85</v>
      </c>
      <c r="B61" t="s">
        <v>151</v>
      </c>
      <c r="C61" s="2">
        <v>4794916.05</v>
      </c>
    </row>
    <row r="62" spans="1:7" x14ac:dyDescent="0.25">
      <c r="A62" t="s">
        <v>85</v>
      </c>
      <c r="B62" t="s">
        <v>54</v>
      </c>
      <c r="C62" s="2">
        <v>398647.25</v>
      </c>
    </row>
    <row r="63" spans="1:7" x14ac:dyDescent="0.25">
      <c r="A63" t="s">
        <v>85</v>
      </c>
      <c r="B63" t="s">
        <v>103</v>
      </c>
      <c r="C63" s="2">
        <v>1442375</v>
      </c>
    </row>
    <row r="64" spans="1:7" x14ac:dyDescent="0.25">
      <c r="A64" t="s">
        <v>85</v>
      </c>
      <c r="B64" t="s">
        <v>124</v>
      </c>
      <c r="C64" s="2">
        <v>1368302.43</v>
      </c>
      <c r="G64" s="1"/>
    </row>
    <row r="65" spans="1:7" x14ac:dyDescent="0.25">
      <c r="A65" t="s">
        <v>85</v>
      </c>
      <c r="B65" t="s">
        <v>56</v>
      </c>
      <c r="C65" s="2">
        <v>115283243.15000001</v>
      </c>
      <c r="G65" s="1"/>
    </row>
    <row r="66" spans="1:7" x14ac:dyDescent="0.25">
      <c r="A66" t="s">
        <v>85</v>
      </c>
      <c r="B66" t="s">
        <v>57</v>
      </c>
      <c r="C66" s="2">
        <v>85607842.700000003</v>
      </c>
    </row>
    <row r="67" spans="1:7" x14ac:dyDescent="0.25">
      <c r="A67" t="s">
        <v>85</v>
      </c>
      <c r="B67" t="s">
        <v>58</v>
      </c>
      <c r="C67" s="2">
        <v>29675400.449999999</v>
      </c>
    </row>
    <row r="68" spans="1:7" x14ac:dyDescent="0.25">
      <c r="A68" t="s">
        <v>85</v>
      </c>
      <c r="B68" t="s">
        <v>167</v>
      </c>
      <c r="C68" s="2">
        <v>25000</v>
      </c>
    </row>
    <row r="69" spans="1:7" x14ac:dyDescent="0.25">
      <c r="A69" t="s">
        <v>85</v>
      </c>
      <c r="B69" t="s">
        <v>59</v>
      </c>
      <c r="C69" s="2">
        <v>490425.98</v>
      </c>
    </row>
    <row r="70" spans="1:7" x14ac:dyDescent="0.25">
      <c r="A70" t="s">
        <v>85</v>
      </c>
      <c r="B70" t="s">
        <v>105</v>
      </c>
      <c r="C70" s="2">
        <v>490425.98</v>
      </c>
    </row>
    <row r="71" spans="1:7" x14ac:dyDescent="0.25">
      <c r="A71" t="s">
        <v>85</v>
      </c>
      <c r="B71" t="s">
        <v>106</v>
      </c>
      <c r="C71" s="2">
        <v>490425.98</v>
      </c>
    </row>
    <row r="72" spans="1:7" x14ac:dyDescent="0.25">
      <c r="A72" t="s">
        <v>85</v>
      </c>
      <c r="B72" t="s">
        <v>63</v>
      </c>
      <c r="C72" s="2">
        <v>33801543.520000003</v>
      </c>
    </row>
    <row r="73" spans="1:7" x14ac:dyDescent="0.25">
      <c r="A73" t="s">
        <v>85</v>
      </c>
      <c r="B73" t="s">
        <v>64</v>
      </c>
      <c r="C73" s="2">
        <v>12735251.52</v>
      </c>
    </row>
    <row r="74" spans="1:7" x14ac:dyDescent="0.25">
      <c r="A74" t="s">
        <v>85</v>
      </c>
      <c r="B74" t="s">
        <v>65</v>
      </c>
      <c r="C74" s="2">
        <v>4738596.87</v>
      </c>
    </row>
    <row r="75" spans="1:7" x14ac:dyDescent="0.25">
      <c r="A75" t="s">
        <v>85</v>
      </c>
      <c r="B75" t="s">
        <v>128</v>
      </c>
      <c r="C75" s="2">
        <v>2160283.9300000002</v>
      </c>
    </row>
    <row r="76" spans="1:7" x14ac:dyDescent="0.25">
      <c r="A76" t="s">
        <v>85</v>
      </c>
      <c r="B76" t="s">
        <v>129</v>
      </c>
      <c r="C76" s="2">
        <v>117959.34</v>
      </c>
    </row>
    <row r="77" spans="1:7" x14ac:dyDescent="0.25">
      <c r="A77" t="s">
        <v>85</v>
      </c>
      <c r="B77" t="s">
        <v>130</v>
      </c>
      <c r="C77" s="2">
        <v>1592624.44</v>
      </c>
    </row>
    <row r="78" spans="1:7" x14ac:dyDescent="0.25">
      <c r="A78" t="s">
        <v>85</v>
      </c>
      <c r="B78" t="s">
        <v>131</v>
      </c>
      <c r="C78" s="2">
        <v>867729.16</v>
      </c>
    </row>
    <row r="79" spans="1:7" x14ac:dyDescent="0.25">
      <c r="A79" t="s">
        <v>85</v>
      </c>
      <c r="B79" t="s">
        <v>107</v>
      </c>
      <c r="C79" s="2">
        <v>91599.07</v>
      </c>
    </row>
    <row r="80" spans="1:7" x14ac:dyDescent="0.25">
      <c r="A80" t="s">
        <v>85</v>
      </c>
      <c r="B80" t="s">
        <v>157</v>
      </c>
      <c r="C80" s="2">
        <v>91599.07</v>
      </c>
    </row>
    <row r="81" spans="1:3" x14ac:dyDescent="0.25">
      <c r="A81" t="s">
        <v>85</v>
      </c>
      <c r="B81" t="s">
        <v>66</v>
      </c>
      <c r="C81" s="2">
        <v>4725036.4800000004</v>
      </c>
    </row>
    <row r="82" spans="1:3" x14ac:dyDescent="0.25">
      <c r="A82" t="s">
        <v>85</v>
      </c>
      <c r="B82" t="s">
        <v>132</v>
      </c>
      <c r="C82" s="2">
        <v>3215885.62</v>
      </c>
    </row>
    <row r="83" spans="1:3" x14ac:dyDescent="0.25">
      <c r="A83" t="s">
        <v>85</v>
      </c>
      <c r="B83" t="s">
        <v>133</v>
      </c>
      <c r="C83" s="2">
        <v>555849.68000000005</v>
      </c>
    </row>
    <row r="84" spans="1:3" x14ac:dyDescent="0.25">
      <c r="A84" t="s">
        <v>85</v>
      </c>
      <c r="B84" t="s">
        <v>134</v>
      </c>
      <c r="C84" s="2">
        <v>953301.18</v>
      </c>
    </row>
    <row r="85" spans="1:3" x14ac:dyDescent="0.25">
      <c r="A85" t="s">
        <v>85</v>
      </c>
      <c r="B85" t="s">
        <v>108</v>
      </c>
      <c r="C85" s="2">
        <v>427136.99</v>
      </c>
    </row>
    <row r="86" spans="1:3" x14ac:dyDescent="0.25">
      <c r="A86" t="s">
        <v>85</v>
      </c>
      <c r="B86" t="s">
        <v>158</v>
      </c>
      <c r="C86" s="2">
        <v>427136.99</v>
      </c>
    </row>
    <row r="87" spans="1:3" x14ac:dyDescent="0.25">
      <c r="A87" t="s">
        <v>85</v>
      </c>
      <c r="B87" t="s">
        <v>109</v>
      </c>
      <c r="C87" s="2">
        <v>14459.44</v>
      </c>
    </row>
    <row r="88" spans="1:3" x14ac:dyDescent="0.25">
      <c r="A88" t="s">
        <v>85</v>
      </c>
      <c r="B88" t="s">
        <v>159</v>
      </c>
      <c r="C88" s="2">
        <v>14459.44</v>
      </c>
    </row>
    <row r="89" spans="1:3" x14ac:dyDescent="0.25">
      <c r="A89" t="s">
        <v>85</v>
      </c>
      <c r="B89" t="s">
        <v>67</v>
      </c>
      <c r="C89" s="2">
        <v>2738422.67</v>
      </c>
    </row>
    <row r="90" spans="1:3" x14ac:dyDescent="0.25">
      <c r="A90" t="s">
        <v>85</v>
      </c>
      <c r="B90" t="s">
        <v>68</v>
      </c>
      <c r="C90" s="2">
        <v>12440153.550000001</v>
      </c>
    </row>
    <row r="91" spans="1:3" x14ac:dyDescent="0.25">
      <c r="A91" t="s">
        <v>85</v>
      </c>
      <c r="B91" t="s">
        <v>69</v>
      </c>
      <c r="C91" s="2">
        <v>52165</v>
      </c>
    </row>
    <row r="92" spans="1:3" x14ac:dyDescent="0.25">
      <c r="A92" t="s">
        <v>85</v>
      </c>
      <c r="B92" t="s">
        <v>70</v>
      </c>
      <c r="C92" s="2">
        <v>12387988.550000001</v>
      </c>
    </row>
    <row r="93" spans="1:3" x14ac:dyDescent="0.25">
      <c r="A93" t="s">
        <v>85</v>
      </c>
      <c r="B93" t="s">
        <v>170</v>
      </c>
      <c r="C93" s="2">
        <v>8382.42</v>
      </c>
    </row>
    <row r="94" spans="1:3" x14ac:dyDescent="0.25">
      <c r="A94" t="s">
        <v>85</v>
      </c>
      <c r="B94" t="s">
        <v>171</v>
      </c>
      <c r="C94" s="2">
        <v>811020.51</v>
      </c>
    </row>
    <row r="95" spans="1:3" x14ac:dyDescent="0.25">
      <c r="A95" t="s">
        <v>85</v>
      </c>
      <c r="B95" t="s">
        <v>172</v>
      </c>
      <c r="C95" s="2">
        <v>10622004.66</v>
      </c>
    </row>
    <row r="96" spans="1:3" x14ac:dyDescent="0.25">
      <c r="A96" t="s">
        <v>85</v>
      </c>
      <c r="B96" t="s">
        <v>71</v>
      </c>
      <c r="C96" s="2">
        <v>946580.96</v>
      </c>
    </row>
    <row r="97" spans="1:3" x14ac:dyDescent="0.25">
      <c r="A97" t="s">
        <v>85</v>
      </c>
      <c r="B97" t="s">
        <v>72</v>
      </c>
      <c r="C97" s="2">
        <v>8538419.9100000001</v>
      </c>
    </row>
    <row r="98" spans="1:3" x14ac:dyDescent="0.25">
      <c r="A98" t="s">
        <v>85</v>
      </c>
      <c r="B98" t="s">
        <v>73</v>
      </c>
      <c r="C98" s="2">
        <v>7896804.5099999998</v>
      </c>
    </row>
    <row r="99" spans="1:3" x14ac:dyDescent="0.25">
      <c r="A99" t="s">
        <v>85</v>
      </c>
      <c r="B99" t="s">
        <v>135</v>
      </c>
      <c r="C99" s="2">
        <v>5954105.3300000001</v>
      </c>
    </row>
    <row r="100" spans="1:3" x14ac:dyDescent="0.25">
      <c r="A100" t="s">
        <v>85</v>
      </c>
      <c r="B100" t="s">
        <v>136</v>
      </c>
      <c r="C100" s="2">
        <v>383472.14</v>
      </c>
    </row>
    <row r="101" spans="1:3" x14ac:dyDescent="0.25">
      <c r="A101" t="s">
        <v>85</v>
      </c>
      <c r="B101" t="s">
        <v>137</v>
      </c>
      <c r="C101" s="2">
        <v>1559227.04</v>
      </c>
    </row>
    <row r="102" spans="1:3" x14ac:dyDescent="0.25">
      <c r="A102" t="s">
        <v>85</v>
      </c>
      <c r="B102" t="s">
        <v>111</v>
      </c>
      <c r="C102" s="2">
        <v>641615.4</v>
      </c>
    </row>
    <row r="103" spans="1:3" x14ac:dyDescent="0.25">
      <c r="A103" t="s">
        <v>85</v>
      </c>
      <c r="B103" t="s">
        <v>160</v>
      </c>
      <c r="C103" s="2">
        <v>588299.81000000006</v>
      </c>
    </row>
    <row r="104" spans="1:3" x14ac:dyDescent="0.25">
      <c r="A104" t="s">
        <v>85</v>
      </c>
      <c r="B104" t="s">
        <v>153</v>
      </c>
      <c r="C104" s="2">
        <v>53315.59</v>
      </c>
    </row>
    <row r="105" spans="1:3" x14ac:dyDescent="0.25">
      <c r="A105" t="s">
        <v>85</v>
      </c>
      <c r="B105" t="s">
        <v>74</v>
      </c>
      <c r="C105" s="2">
        <v>87718.54</v>
      </c>
    </row>
    <row r="106" spans="1:3" x14ac:dyDescent="0.25">
      <c r="A106" t="s">
        <v>85</v>
      </c>
      <c r="B106" t="s">
        <v>154</v>
      </c>
      <c r="C106" s="2">
        <v>87718.54</v>
      </c>
    </row>
    <row r="107" spans="1:3" x14ac:dyDescent="0.25">
      <c r="A107" t="s">
        <v>85</v>
      </c>
      <c r="B107" t="s">
        <v>75</v>
      </c>
      <c r="C107" s="2">
        <v>19678591.710000001</v>
      </c>
    </row>
    <row r="108" spans="1:3" x14ac:dyDescent="0.25">
      <c r="A108" t="s">
        <v>85</v>
      </c>
      <c r="B108" t="s">
        <v>143</v>
      </c>
      <c r="C108" s="2">
        <v>18159132.190000001</v>
      </c>
    </row>
    <row r="109" spans="1:3" x14ac:dyDescent="0.25">
      <c r="A109" t="s">
        <v>85</v>
      </c>
      <c r="B109" t="s">
        <v>144</v>
      </c>
      <c r="C109" s="2">
        <v>18159132.190000001</v>
      </c>
    </row>
    <row r="110" spans="1:3" x14ac:dyDescent="0.25">
      <c r="A110" t="s">
        <v>85</v>
      </c>
      <c r="B110" t="s">
        <v>78</v>
      </c>
      <c r="C110" s="2">
        <v>1519459.52</v>
      </c>
    </row>
    <row r="111" spans="1:3" x14ac:dyDescent="0.25">
      <c r="A111" t="s">
        <v>85</v>
      </c>
      <c r="B111" t="s">
        <v>79</v>
      </c>
      <c r="C111" s="2">
        <v>844600</v>
      </c>
    </row>
    <row r="112" spans="1:3" x14ac:dyDescent="0.25">
      <c r="A112" t="s">
        <v>85</v>
      </c>
      <c r="B112" t="s">
        <v>80</v>
      </c>
      <c r="C112" s="2">
        <v>844600</v>
      </c>
    </row>
    <row r="113" spans="1:3" x14ac:dyDescent="0.25">
      <c r="A113" t="s">
        <v>85</v>
      </c>
      <c r="B113" t="s">
        <v>112</v>
      </c>
      <c r="C113" s="2">
        <v>844600</v>
      </c>
    </row>
    <row r="114" spans="1:3" x14ac:dyDescent="0.25">
      <c r="A114" t="s">
        <v>85</v>
      </c>
      <c r="B114" t="s">
        <v>82</v>
      </c>
      <c r="C114" s="2">
        <v>674859.52000000002</v>
      </c>
    </row>
    <row r="115" spans="1:3" x14ac:dyDescent="0.25">
      <c r="A115" t="s">
        <v>85</v>
      </c>
      <c r="B115" t="s">
        <v>83</v>
      </c>
      <c r="C115" s="2">
        <v>674859.52000000002</v>
      </c>
    </row>
    <row r="116" spans="1:3" x14ac:dyDescent="0.25">
      <c r="A116" t="s">
        <v>85</v>
      </c>
      <c r="B116" t="s">
        <v>84</v>
      </c>
      <c r="C116" s="2">
        <v>674859.52000000002</v>
      </c>
    </row>
    <row r="117" spans="1:3" x14ac:dyDescent="0.25">
      <c r="A117" t="s">
        <v>85</v>
      </c>
      <c r="B117" t="s">
        <v>113</v>
      </c>
      <c r="C117" s="2">
        <v>75387230.579999998</v>
      </c>
    </row>
    <row r="118" spans="1:3" x14ac:dyDescent="0.25">
      <c r="A118" t="s">
        <v>85</v>
      </c>
      <c r="B118" t="s">
        <v>114</v>
      </c>
      <c r="C118" s="2">
        <v>56242309.979999997</v>
      </c>
    </row>
    <row r="119" spans="1:3" x14ac:dyDescent="0.25">
      <c r="A119" t="s">
        <v>85</v>
      </c>
      <c r="B119" t="s">
        <v>115</v>
      </c>
      <c r="C119" s="2">
        <v>56242309.979999997</v>
      </c>
    </row>
    <row r="120" spans="1:3" x14ac:dyDescent="0.25">
      <c r="A120" t="s">
        <v>85</v>
      </c>
      <c r="B120" t="s">
        <v>116</v>
      </c>
      <c r="C120" s="2">
        <v>56242309.979999997</v>
      </c>
    </row>
    <row r="121" spans="1:3" x14ac:dyDescent="0.25">
      <c r="A121" t="s">
        <v>85</v>
      </c>
      <c r="B121" t="s">
        <v>117</v>
      </c>
      <c r="C121" s="2">
        <v>56242309.979999997</v>
      </c>
    </row>
    <row r="122" spans="1:3" x14ac:dyDescent="0.25">
      <c r="A122" t="s">
        <v>85</v>
      </c>
      <c r="B122" t="s">
        <v>118</v>
      </c>
      <c r="C122" s="2">
        <v>19144920.600000001</v>
      </c>
    </row>
    <row r="123" spans="1:3" x14ac:dyDescent="0.25">
      <c r="A123" t="s">
        <v>85</v>
      </c>
      <c r="B123" t="s">
        <v>119</v>
      </c>
      <c r="C123" s="2">
        <v>19144920.600000001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5.5703125" customWidth="1"/>
    <col min="2" max="2" width="101.42578125" customWidth="1"/>
    <col min="3" max="3" width="18" bestFit="1" customWidth="1"/>
    <col min="4" max="4" width="13" customWidth="1"/>
    <col min="5" max="5" width="17.42578125" bestFit="1" customWidth="1"/>
    <col min="6" max="6" width="18" bestFit="1" customWidth="1"/>
    <col min="7" max="7" width="13" customWidth="1"/>
    <col min="8" max="8" width="16.85546875" bestFit="1" customWidth="1"/>
    <col min="9" max="10" width="13" customWidth="1"/>
  </cols>
  <sheetData>
    <row r="1" spans="1:6" x14ac:dyDescent="0.25">
      <c r="A1" t="s">
        <v>173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6</v>
      </c>
      <c r="B5" t="s">
        <v>7</v>
      </c>
      <c r="C5" s="2">
        <v>439933490.25999999</v>
      </c>
      <c r="E5" s="2" t="s">
        <v>7</v>
      </c>
      <c r="F5" s="2">
        <f>C5</f>
        <v>439933490.25999999</v>
      </c>
    </row>
    <row r="6" spans="1:6" x14ac:dyDescent="0.25">
      <c r="A6" t="s">
        <v>6</v>
      </c>
      <c r="B6" t="s">
        <v>174</v>
      </c>
      <c r="C6" s="2">
        <v>435330580.50999999</v>
      </c>
      <c r="E6" s="2" t="s">
        <v>9</v>
      </c>
      <c r="F6" s="2">
        <f>C7</f>
        <v>67141859.840000004</v>
      </c>
    </row>
    <row r="7" spans="1:6" x14ac:dyDescent="0.25">
      <c r="A7" t="s">
        <v>6</v>
      </c>
      <c r="B7" t="s">
        <v>175</v>
      </c>
      <c r="C7" s="2">
        <v>67141859.840000004</v>
      </c>
      <c r="E7" s="2" t="s">
        <v>11</v>
      </c>
      <c r="F7" s="2">
        <f>C15</f>
        <v>9422638.4199999999</v>
      </c>
    </row>
    <row r="8" spans="1:6" x14ac:dyDescent="0.25">
      <c r="A8" t="s">
        <v>6</v>
      </c>
      <c r="B8" t="s">
        <v>176</v>
      </c>
      <c r="C8" s="2">
        <v>60914794.539999999</v>
      </c>
      <c r="E8" s="2" t="s">
        <v>13</v>
      </c>
      <c r="F8" s="2">
        <f>C16</f>
        <v>8916033.3300000001</v>
      </c>
    </row>
    <row r="9" spans="1:6" x14ac:dyDescent="0.25">
      <c r="A9" t="s">
        <v>6</v>
      </c>
      <c r="B9" t="s">
        <v>177</v>
      </c>
      <c r="C9" s="2">
        <v>16005789.140000001</v>
      </c>
      <c r="E9" s="2" t="s">
        <v>15</v>
      </c>
      <c r="F9" s="2">
        <f>C18</f>
        <v>26570333.649999999</v>
      </c>
    </row>
    <row r="10" spans="1:6" x14ac:dyDescent="0.25">
      <c r="A10" t="s">
        <v>6</v>
      </c>
      <c r="B10" t="s">
        <v>178</v>
      </c>
      <c r="C10" s="2">
        <v>16005789.140000001</v>
      </c>
      <c r="E10" s="2" t="s">
        <v>121</v>
      </c>
      <c r="F10" s="2">
        <f>C32</f>
        <v>348322339.01999998</v>
      </c>
    </row>
    <row r="11" spans="1:6" x14ac:dyDescent="0.25">
      <c r="A11" t="s">
        <v>6</v>
      </c>
      <c r="B11" t="s">
        <v>179</v>
      </c>
      <c r="C11" s="2">
        <v>13740771.800000001</v>
      </c>
      <c r="E11" s="2" t="s">
        <v>19</v>
      </c>
      <c r="F11" s="2">
        <f>C36</f>
        <v>87848027.030000001</v>
      </c>
    </row>
    <row r="12" spans="1:6" x14ac:dyDescent="0.25">
      <c r="A12" t="s">
        <v>6</v>
      </c>
      <c r="B12" t="s">
        <v>180</v>
      </c>
      <c r="C12" s="2">
        <v>2265017.34</v>
      </c>
      <c r="E12" s="2" t="s">
        <v>21</v>
      </c>
      <c r="F12" s="2">
        <f>C58</f>
        <v>73607060.75</v>
      </c>
    </row>
    <row r="13" spans="1:6" x14ac:dyDescent="0.25">
      <c r="A13" t="s">
        <v>6</v>
      </c>
      <c r="B13" t="s">
        <v>181</v>
      </c>
      <c r="C13" s="2">
        <v>44909005.399999999</v>
      </c>
      <c r="E13" s="2" t="s">
        <v>23</v>
      </c>
      <c r="F13" s="2">
        <f>C68</f>
        <v>78142439.819999993</v>
      </c>
    </row>
    <row r="14" spans="1:6" x14ac:dyDescent="0.25">
      <c r="A14" t="s">
        <v>6</v>
      </c>
      <c r="B14" t="s">
        <v>182</v>
      </c>
      <c r="C14" s="2">
        <v>18338671.75</v>
      </c>
      <c r="E14" s="2" t="s">
        <v>25</v>
      </c>
      <c r="F14" s="2">
        <f>C78</f>
        <v>4602909.75</v>
      </c>
    </row>
    <row r="15" spans="1:6" x14ac:dyDescent="0.25">
      <c r="A15" t="s">
        <v>6</v>
      </c>
      <c r="B15" t="s">
        <v>183</v>
      </c>
      <c r="C15" s="2">
        <v>9422638.4199999999</v>
      </c>
    </row>
    <row r="16" spans="1:6" x14ac:dyDescent="0.25">
      <c r="A16" t="s">
        <v>6</v>
      </c>
      <c r="B16" t="s">
        <v>184</v>
      </c>
      <c r="C16" s="2">
        <v>8916033.3300000001</v>
      </c>
    </row>
    <row r="17" spans="1:3" x14ac:dyDescent="0.25">
      <c r="A17" t="s">
        <v>6</v>
      </c>
      <c r="B17" t="s">
        <v>185</v>
      </c>
      <c r="C17" s="2">
        <v>26570333.649999999</v>
      </c>
    </row>
    <row r="18" spans="1:3" x14ac:dyDescent="0.25">
      <c r="A18" t="s">
        <v>6</v>
      </c>
      <c r="B18" t="s">
        <v>186</v>
      </c>
      <c r="C18" s="2">
        <v>26570333.649999999</v>
      </c>
    </row>
    <row r="19" spans="1:3" x14ac:dyDescent="0.25">
      <c r="A19" t="s">
        <v>6</v>
      </c>
      <c r="B19" t="s">
        <v>187</v>
      </c>
      <c r="C19" s="2">
        <v>6227065.2999999998</v>
      </c>
    </row>
    <row r="20" spans="1:3" x14ac:dyDescent="0.25">
      <c r="A20" t="s">
        <v>6</v>
      </c>
      <c r="B20" t="s">
        <v>188</v>
      </c>
      <c r="C20" s="2">
        <v>4857549.37</v>
      </c>
    </row>
    <row r="21" spans="1:3" x14ac:dyDescent="0.25">
      <c r="A21" t="s">
        <v>6</v>
      </c>
      <c r="B21" t="s">
        <v>189</v>
      </c>
      <c r="C21" s="2">
        <v>4857549.37</v>
      </c>
    </row>
    <row r="22" spans="1:3" x14ac:dyDescent="0.25">
      <c r="A22" t="s">
        <v>6</v>
      </c>
      <c r="B22" t="s">
        <v>190</v>
      </c>
      <c r="C22" s="2">
        <v>1369515.93</v>
      </c>
    </row>
    <row r="23" spans="1:3" x14ac:dyDescent="0.25">
      <c r="A23" t="s">
        <v>6</v>
      </c>
      <c r="B23" t="s">
        <v>191</v>
      </c>
      <c r="C23" s="2">
        <v>1369515.93</v>
      </c>
    </row>
    <row r="24" spans="1:3" x14ac:dyDescent="0.25">
      <c r="A24" t="s">
        <v>6</v>
      </c>
      <c r="B24" t="s">
        <v>192</v>
      </c>
      <c r="C24" s="2">
        <v>7273053.9299999997</v>
      </c>
    </row>
    <row r="25" spans="1:3" x14ac:dyDescent="0.25">
      <c r="A25" t="s">
        <v>6</v>
      </c>
      <c r="B25" t="s">
        <v>193</v>
      </c>
      <c r="C25" s="2">
        <v>7273053.9299999997</v>
      </c>
    </row>
    <row r="26" spans="1:3" x14ac:dyDescent="0.25">
      <c r="A26" t="s">
        <v>6</v>
      </c>
      <c r="B26" t="s">
        <v>194</v>
      </c>
      <c r="C26" s="2">
        <v>11836065.27</v>
      </c>
    </row>
    <row r="27" spans="1:3" x14ac:dyDescent="0.25">
      <c r="A27" t="s">
        <v>6</v>
      </c>
      <c r="B27" t="s">
        <v>195</v>
      </c>
      <c r="C27" s="2">
        <v>8736065.2699999996</v>
      </c>
    </row>
    <row r="28" spans="1:3" x14ac:dyDescent="0.25">
      <c r="A28" t="s">
        <v>6</v>
      </c>
      <c r="B28" t="s">
        <v>196</v>
      </c>
      <c r="C28" s="2">
        <v>8724003.25</v>
      </c>
    </row>
    <row r="29" spans="1:3" x14ac:dyDescent="0.25">
      <c r="A29" t="s">
        <v>6</v>
      </c>
      <c r="B29" t="s">
        <v>197</v>
      </c>
      <c r="C29" s="2">
        <v>8724003.25</v>
      </c>
    </row>
    <row r="30" spans="1:3" x14ac:dyDescent="0.25">
      <c r="A30" t="s">
        <v>6</v>
      </c>
      <c r="B30" t="s">
        <v>198</v>
      </c>
      <c r="C30" s="2">
        <v>12062.02</v>
      </c>
    </row>
    <row r="31" spans="1:3" x14ac:dyDescent="0.25">
      <c r="A31" t="s">
        <v>6</v>
      </c>
      <c r="B31" t="s">
        <v>199</v>
      </c>
      <c r="C31" s="2">
        <v>3100000</v>
      </c>
    </row>
    <row r="32" spans="1:3" x14ac:dyDescent="0.25">
      <c r="A32" t="s">
        <v>6</v>
      </c>
      <c r="B32" t="s">
        <v>200</v>
      </c>
      <c r="C32" s="2">
        <v>348322339.01999998</v>
      </c>
    </row>
    <row r="33" spans="1:8" x14ac:dyDescent="0.25">
      <c r="A33" t="s">
        <v>6</v>
      </c>
      <c r="B33" t="s">
        <v>201</v>
      </c>
      <c r="C33" s="2">
        <v>179073623.86000001</v>
      </c>
    </row>
    <row r="34" spans="1:8" x14ac:dyDescent="0.25">
      <c r="A34" t="s">
        <v>6</v>
      </c>
      <c r="B34" t="s">
        <v>202</v>
      </c>
      <c r="C34" s="2">
        <v>179073623.86000001</v>
      </c>
    </row>
    <row r="35" spans="1:8" x14ac:dyDescent="0.25">
      <c r="A35" t="s">
        <v>6</v>
      </c>
      <c r="B35" t="s">
        <v>203</v>
      </c>
      <c r="C35" s="2">
        <v>98783299.290000007</v>
      </c>
    </row>
    <row r="36" spans="1:8" x14ac:dyDescent="0.25">
      <c r="A36" t="s">
        <v>6</v>
      </c>
      <c r="B36" t="s">
        <v>204</v>
      </c>
      <c r="C36" s="2">
        <v>87848027.030000001</v>
      </c>
    </row>
    <row r="37" spans="1:8" x14ac:dyDescent="0.25">
      <c r="A37" t="s">
        <v>6</v>
      </c>
      <c r="B37" t="s">
        <v>205</v>
      </c>
      <c r="C37" s="2">
        <v>3900768.52</v>
      </c>
    </row>
    <row r="38" spans="1:8" x14ac:dyDescent="0.25">
      <c r="A38" t="s">
        <v>6</v>
      </c>
      <c r="B38" t="s">
        <v>206</v>
      </c>
      <c r="C38" s="2">
        <v>3805794.93</v>
      </c>
    </row>
    <row r="39" spans="1:8" x14ac:dyDescent="0.25">
      <c r="A39" t="s">
        <v>6</v>
      </c>
      <c r="B39" t="s">
        <v>207</v>
      </c>
      <c r="C39" s="2">
        <v>3228708.81</v>
      </c>
    </row>
    <row r="40" spans="1:8" x14ac:dyDescent="0.25">
      <c r="A40" t="s">
        <v>6</v>
      </c>
      <c r="B40" t="s">
        <v>208</v>
      </c>
      <c r="C40" s="2">
        <v>1475298.38</v>
      </c>
    </row>
    <row r="41" spans="1:8" x14ac:dyDescent="0.25">
      <c r="A41" t="s">
        <v>6</v>
      </c>
      <c r="B41" t="s">
        <v>209</v>
      </c>
      <c r="C41" s="2">
        <v>13725.47</v>
      </c>
    </row>
    <row r="42" spans="1:8" x14ac:dyDescent="0.25">
      <c r="A42" t="s">
        <v>6</v>
      </c>
      <c r="B42" t="s">
        <v>210</v>
      </c>
      <c r="C42" s="2">
        <v>1461572.91</v>
      </c>
    </row>
    <row r="43" spans="1:8" x14ac:dyDescent="0.25">
      <c r="A43" t="s">
        <v>6</v>
      </c>
      <c r="B43" t="s">
        <v>211</v>
      </c>
      <c r="C43" s="2">
        <v>69666256.329999998</v>
      </c>
    </row>
    <row r="44" spans="1:8" x14ac:dyDescent="0.25">
      <c r="A44" t="s">
        <v>6</v>
      </c>
      <c r="B44" t="s">
        <v>212</v>
      </c>
      <c r="C44" s="2">
        <v>2783532.69</v>
      </c>
    </row>
    <row r="45" spans="1:8" x14ac:dyDescent="0.25">
      <c r="A45" t="s">
        <v>6</v>
      </c>
      <c r="B45" t="s">
        <v>213</v>
      </c>
      <c r="C45" s="2">
        <v>5448496.6500000004</v>
      </c>
    </row>
    <row r="46" spans="1:8" x14ac:dyDescent="0.25">
      <c r="A46" t="s">
        <v>6</v>
      </c>
      <c r="B46" t="s">
        <v>214</v>
      </c>
      <c r="C46" s="2">
        <v>3166336.66</v>
      </c>
    </row>
    <row r="47" spans="1:8" x14ac:dyDescent="0.25">
      <c r="A47" t="s">
        <v>6</v>
      </c>
      <c r="B47" t="s">
        <v>215</v>
      </c>
      <c r="C47" s="2">
        <v>17040</v>
      </c>
      <c r="H47" s="1"/>
    </row>
    <row r="48" spans="1:8" x14ac:dyDescent="0.25">
      <c r="A48" t="s">
        <v>6</v>
      </c>
      <c r="B48" t="s">
        <v>216</v>
      </c>
      <c r="C48" s="2">
        <v>1233274.8</v>
      </c>
      <c r="H48" s="1"/>
    </row>
    <row r="49" spans="1:3" x14ac:dyDescent="0.25">
      <c r="A49" t="s">
        <v>6</v>
      </c>
      <c r="B49" t="s">
        <v>217</v>
      </c>
      <c r="C49" s="2">
        <v>468018.3</v>
      </c>
    </row>
    <row r="50" spans="1:3" x14ac:dyDescent="0.25">
      <c r="A50" t="s">
        <v>6</v>
      </c>
      <c r="B50" t="s">
        <v>218</v>
      </c>
      <c r="C50" s="2">
        <v>563826.89</v>
      </c>
    </row>
    <row r="51" spans="1:3" x14ac:dyDescent="0.25">
      <c r="A51" t="s">
        <v>6</v>
      </c>
      <c r="B51" t="s">
        <v>219</v>
      </c>
      <c r="C51" s="2">
        <v>228849.6</v>
      </c>
    </row>
    <row r="52" spans="1:3" x14ac:dyDescent="0.25">
      <c r="A52" t="s">
        <v>6</v>
      </c>
      <c r="B52" t="s">
        <v>220</v>
      </c>
      <c r="C52" s="2">
        <v>228849.6</v>
      </c>
    </row>
    <row r="53" spans="1:3" x14ac:dyDescent="0.25">
      <c r="A53" t="s">
        <v>6</v>
      </c>
      <c r="B53" t="s">
        <v>221</v>
      </c>
      <c r="C53" s="2">
        <v>687890.92</v>
      </c>
    </row>
    <row r="54" spans="1:3" x14ac:dyDescent="0.25">
      <c r="A54" t="s">
        <v>6</v>
      </c>
      <c r="B54" t="s">
        <v>222</v>
      </c>
      <c r="C54" s="2">
        <v>687890.92</v>
      </c>
    </row>
    <row r="55" spans="1:3" x14ac:dyDescent="0.25">
      <c r="A55" t="s">
        <v>6</v>
      </c>
      <c r="B55" t="s">
        <v>223</v>
      </c>
      <c r="C55" s="2">
        <v>90879611.170000002</v>
      </c>
    </row>
    <row r="56" spans="1:3" x14ac:dyDescent="0.25">
      <c r="A56" t="s">
        <v>6</v>
      </c>
      <c r="B56" t="s">
        <v>224</v>
      </c>
      <c r="C56" s="2">
        <v>90879611.170000002</v>
      </c>
    </row>
    <row r="57" spans="1:3" x14ac:dyDescent="0.25">
      <c r="A57" t="s">
        <v>6</v>
      </c>
      <c r="B57" t="s">
        <v>225</v>
      </c>
      <c r="C57" s="2">
        <v>88423673.900000006</v>
      </c>
    </row>
    <row r="58" spans="1:3" x14ac:dyDescent="0.25">
      <c r="A58" t="s">
        <v>6</v>
      </c>
      <c r="B58" t="s">
        <v>226</v>
      </c>
      <c r="C58" s="2">
        <v>73607060.75</v>
      </c>
    </row>
    <row r="59" spans="1:3" x14ac:dyDescent="0.25">
      <c r="A59" t="s">
        <v>6</v>
      </c>
      <c r="B59" t="s">
        <v>227</v>
      </c>
      <c r="C59" s="2">
        <v>13989925.16</v>
      </c>
    </row>
    <row r="60" spans="1:3" x14ac:dyDescent="0.25">
      <c r="A60" t="s">
        <v>6</v>
      </c>
      <c r="B60" t="s">
        <v>228</v>
      </c>
      <c r="C60" s="2">
        <v>610875.56000000006</v>
      </c>
    </row>
    <row r="61" spans="1:3" x14ac:dyDescent="0.25">
      <c r="A61" t="s">
        <v>6</v>
      </c>
      <c r="B61" t="s">
        <v>229</v>
      </c>
      <c r="C61" s="2">
        <v>215812.43</v>
      </c>
    </row>
    <row r="62" spans="1:3" x14ac:dyDescent="0.25">
      <c r="A62" t="s">
        <v>6</v>
      </c>
      <c r="B62" t="s">
        <v>230</v>
      </c>
      <c r="C62" s="2">
        <v>1059924</v>
      </c>
    </row>
    <row r="63" spans="1:3" x14ac:dyDescent="0.25">
      <c r="A63" t="s">
        <v>6</v>
      </c>
      <c r="B63" t="s">
        <v>231</v>
      </c>
      <c r="C63" s="2">
        <v>1396013.27</v>
      </c>
    </row>
    <row r="64" spans="1:3" x14ac:dyDescent="0.25">
      <c r="A64" t="s">
        <v>6</v>
      </c>
      <c r="B64" t="s">
        <v>232</v>
      </c>
      <c r="C64" s="2">
        <v>226664.17</v>
      </c>
    </row>
    <row r="65" spans="1:3" x14ac:dyDescent="0.25">
      <c r="A65" t="s">
        <v>6</v>
      </c>
      <c r="B65" t="s">
        <v>233</v>
      </c>
      <c r="C65" s="2">
        <v>226664.17</v>
      </c>
    </row>
    <row r="66" spans="1:3" x14ac:dyDescent="0.25">
      <c r="A66" t="s">
        <v>6</v>
      </c>
      <c r="B66" t="s">
        <v>234</v>
      </c>
      <c r="C66" s="2">
        <v>78142439.819999993</v>
      </c>
    </row>
    <row r="67" spans="1:3" x14ac:dyDescent="0.25">
      <c r="A67" t="s">
        <v>6</v>
      </c>
      <c r="B67" t="s">
        <v>235</v>
      </c>
      <c r="C67" s="2">
        <v>78142439.819999993</v>
      </c>
    </row>
    <row r="68" spans="1:3" x14ac:dyDescent="0.25">
      <c r="A68" t="s">
        <v>6</v>
      </c>
      <c r="B68" t="s">
        <v>236</v>
      </c>
      <c r="C68" s="2">
        <v>78142439.819999993</v>
      </c>
    </row>
    <row r="69" spans="1:3" x14ac:dyDescent="0.25">
      <c r="A69" t="s">
        <v>6</v>
      </c>
      <c r="B69" t="s">
        <v>237</v>
      </c>
      <c r="C69" s="2">
        <v>757262.45</v>
      </c>
    </row>
    <row r="70" spans="1:3" x14ac:dyDescent="0.25">
      <c r="A70" t="s">
        <v>6</v>
      </c>
      <c r="B70" t="s">
        <v>238</v>
      </c>
      <c r="C70" s="2">
        <v>609345.48</v>
      </c>
    </row>
    <row r="71" spans="1:3" x14ac:dyDescent="0.25">
      <c r="A71" t="s">
        <v>6</v>
      </c>
      <c r="B71" t="s">
        <v>239</v>
      </c>
      <c r="C71" s="2">
        <v>34830.39</v>
      </c>
    </row>
    <row r="72" spans="1:3" x14ac:dyDescent="0.25">
      <c r="A72" t="s">
        <v>6</v>
      </c>
      <c r="B72" t="s">
        <v>240</v>
      </c>
      <c r="C72" s="2">
        <v>3741.36</v>
      </c>
    </row>
    <row r="73" spans="1:3" x14ac:dyDescent="0.25">
      <c r="A73" t="s">
        <v>6</v>
      </c>
      <c r="B73" t="s">
        <v>241</v>
      </c>
      <c r="C73" s="2">
        <v>31089.03</v>
      </c>
    </row>
    <row r="74" spans="1:3" x14ac:dyDescent="0.25">
      <c r="A74" t="s">
        <v>6</v>
      </c>
      <c r="B74" t="s">
        <v>242</v>
      </c>
      <c r="C74" s="2">
        <v>31089.03</v>
      </c>
    </row>
    <row r="75" spans="1:3" x14ac:dyDescent="0.25">
      <c r="A75" t="s">
        <v>6</v>
      </c>
      <c r="B75" t="s">
        <v>243</v>
      </c>
      <c r="C75" s="2">
        <v>113086.58</v>
      </c>
    </row>
    <row r="76" spans="1:3" x14ac:dyDescent="0.25">
      <c r="A76" t="s">
        <v>6</v>
      </c>
      <c r="B76" t="s">
        <v>244</v>
      </c>
      <c r="C76" s="2">
        <v>113086.58</v>
      </c>
    </row>
    <row r="77" spans="1:3" x14ac:dyDescent="0.25">
      <c r="A77" t="s">
        <v>6</v>
      </c>
      <c r="B77" t="s">
        <v>245</v>
      </c>
      <c r="C77" s="2">
        <v>113086.58</v>
      </c>
    </row>
    <row r="78" spans="1:3" x14ac:dyDescent="0.25">
      <c r="A78" t="s">
        <v>6</v>
      </c>
      <c r="B78" t="s">
        <v>246</v>
      </c>
      <c r="C78" s="2">
        <v>4602909.75</v>
      </c>
    </row>
    <row r="79" spans="1:3" x14ac:dyDescent="0.25">
      <c r="A79" t="s">
        <v>6</v>
      </c>
      <c r="B79" t="s">
        <v>247</v>
      </c>
      <c r="C79" s="2">
        <v>1262533.28</v>
      </c>
    </row>
    <row r="80" spans="1:3" x14ac:dyDescent="0.25">
      <c r="A80" t="s">
        <v>6</v>
      </c>
      <c r="B80" t="s">
        <v>248</v>
      </c>
      <c r="C80" s="2">
        <v>1262533.28</v>
      </c>
    </row>
    <row r="81" spans="1:3" x14ac:dyDescent="0.25">
      <c r="A81" t="s">
        <v>6</v>
      </c>
      <c r="B81" t="s">
        <v>249</v>
      </c>
      <c r="C81" s="2">
        <v>1262533.28</v>
      </c>
    </row>
    <row r="82" spans="1:3" x14ac:dyDescent="0.25">
      <c r="A82" t="s">
        <v>6</v>
      </c>
      <c r="B82" t="s">
        <v>250</v>
      </c>
      <c r="C82" s="2">
        <v>317650</v>
      </c>
    </row>
    <row r="83" spans="1:3" x14ac:dyDescent="0.25">
      <c r="A83" t="s">
        <v>6</v>
      </c>
      <c r="B83" t="s">
        <v>251</v>
      </c>
      <c r="C83" s="2">
        <v>317650</v>
      </c>
    </row>
    <row r="84" spans="1:3" x14ac:dyDescent="0.25">
      <c r="A84" t="s">
        <v>6</v>
      </c>
      <c r="B84" t="s">
        <v>252</v>
      </c>
      <c r="C84" s="2">
        <v>317650</v>
      </c>
    </row>
    <row r="85" spans="1:3" x14ac:dyDescent="0.25">
      <c r="A85" t="s">
        <v>6</v>
      </c>
      <c r="B85" t="s">
        <v>253</v>
      </c>
      <c r="C85" s="2">
        <v>3022726.47</v>
      </c>
    </row>
    <row r="86" spans="1:3" x14ac:dyDescent="0.25">
      <c r="A86" t="s">
        <v>6</v>
      </c>
      <c r="B86" t="s">
        <v>254</v>
      </c>
      <c r="C86" s="2">
        <v>3022726.47</v>
      </c>
    </row>
    <row r="87" spans="1:3" x14ac:dyDescent="0.25">
      <c r="A87" t="s">
        <v>6</v>
      </c>
      <c r="B87" t="s">
        <v>255</v>
      </c>
      <c r="C87" s="2">
        <v>3022726.47</v>
      </c>
    </row>
    <row r="88" spans="1:3" x14ac:dyDescent="0.25">
      <c r="A88" t="s">
        <v>6</v>
      </c>
      <c r="B88" t="s">
        <v>256</v>
      </c>
      <c r="C88" s="2">
        <v>620000</v>
      </c>
    </row>
    <row r="89" spans="1:3" x14ac:dyDescent="0.25">
      <c r="A89" t="s">
        <v>6</v>
      </c>
      <c r="B89" t="s">
        <v>257</v>
      </c>
      <c r="C89" s="2">
        <v>785564.73</v>
      </c>
    </row>
    <row r="90" spans="1:3" x14ac:dyDescent="0.25">
      <c r="A90" t="s">
        <v>6</v>
      </c>
      <c r="B90" t="s">
        <v>258</v>
      </c>
      <c r="C90" s="2">
        <v>1617161.74</v>
      </c>
    </row>
    <row r="91" spans="1:3" x14ac:dyDescent="0.25">
      <c r="C91" s="2"/>
    </row>
    <row r="92" spans="1:3" x14ac:dyDescent="0.25">
      <c r="C92" s="2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6.5703125" customWidth="1"/>
    <col min="2" max="2" width="102.5703125" customWidth="1"/>
    <col min="3" max="3" width="19.5703125" bestFit="1" customWidth="1"/>
    <col min="4" max="4" width="13" customWidth="1"/>
    <col min="5" max="5" width="17.42578125" bestFit="1" customWidth="1"/>
    <col min="6" max="6" width="19.5703125" bestFit="1" customWidth="1"/>
    <col min="7" max="7" width="16.85546875" bestFit="1" customWidth="1"/>
    <col min="8" max="10" width="13" customWidth="1"/>
  </cols>
  <sheetData>
    <row r="1" spans="1:6" x14ac:dyDescent="0.25">
      <c r="A1" t="s">
        <v>173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85</v>
      </c>
      <c r="B5" t="s">
        <v>7</v>
      </c>
      <c r="C5" s="2">
        <v>1319747921.05</v>
      </c>
      <c r="E5" s="2" t="s">
        <v>7</v>
      </c>
      <c r="F5" s="2">
        <f>C5</f>
        <v>1319747921.05</v>
      </c>
    </row>
    <row r="6" spans="1:6" x14ac:dyDescent="0.25">
      <c r="A6" t="s">
        <v>85</v>
      </c>
      <c r="B6" t="s">
        <v>174</v>
      </c>
      <c r="C6" s="2">
        <v>1223985752.6500001</v>
      </c>
      <c r="E6" s="2" t="s">
        <v>9</v>
      </c>
      <c r="F6" s="2">
        <f>C7</f>
        <v>335698595.22000003</v>
      </c>
    </row>
    <row r="7" spans="1:6" x14ac:dyDescent="0.25">
      <c r="A7" t="s">
        <v>85</v>
      </c>
      <c r="B7" t="s">
        <v>175</v>
      </c>
      <c r="C7" s="2">
        <v>335698595.22000003</v>
      </c>
      <c r="E7" s="2" t="s">
        <v>11</v>
      </c>
      <c r="F7" s="2">
        <f>C15</f>
        <v>117758794.79000001</v>
      </c>
    </row>
    <row r="8" spans="1:6" x14ac:dyDescent="0.25">
      <c r="A8" t="s">
        <v>85</v>
      </c>
      <c r="B8" t="s">
        <v>176</v>
      </c>
      <c r="C8" s="2">
        <v>302716703.92000002</v>
      </c>
      <c r="E8" s="2" t="s">
        <v>13</v>
      </c>
      <c r="F8" s="2">
        <f>C16</f>
        <v>24397141.02</v>
      </c>
    </row>
    <row r="9" spans="1:6" x14ac:dyDescent="0.25">
      <c r="A9" t="s">
        <v>85</v>
      </c>
      <c r="B9" t="s">
        <v>177</v>
      </c>
      <c r="C9" s="2">
        <v>40173486.130000003</v>
      </c>
      <c r="E9" s="2" t="s">
        <v>15</v>
      </c>
      <c r="F9" s="2">
        <f>C18</f>
        <v>120387281.98</v>
      </c>
    </row>
    <row r="10" spans="1:6" x14ac:dyDescent="0.25">
      <c r="A10" t="s">
        <v>85</v>
      </c>
      <c r="B10" t="s">
        <v>178</v>
      </c>
      <c r="C10" s="2">
        <v>40173486.130000003</v>
      </c>
      <c r="E10" s="2" t="s">
        <v>121</v>
      </c>
      <c r="F10" s="2">
        <f>C44</f>
        <v>782118273.75999999</v>
      </c>
    </row>
    <row r="11" spans="1:6" x14ac:dyDescent="0.25">
      <c r="A11" t="s">
        <v>85</v>
      </c>
      <c r="B11" t="s">
        <v>179</v>
      </c>
      <c r="C11" s="2">
        <v>36916269.170000002</v>
      </c>
      <c r="E11" s="2" t="s">
        <v>19</v>
      </c>
      <c r="F11" s="2">
        <f>C48</f>
        <v>87848027.030000001</v>
      </c>
    </row>
    <row r="12" spans="1:6" x14ac:dyDescent="0.25">
      <c r="A12" t="s">
        <v>85</v>
      </c>
      <c r="B12" t="s">
        <v>180</v>
      </c>
      <c r="C12" s="2">
        <v>3257216.96</v>
      </c>
      <c r="E12" s="2" t="s">
        <v>21</v>
      </c>
      <c r="F12" s="2">
        <f>C72</f>
        <v>461836850.19</v>
      </c>
    </row>
    <row r="13" spans="1:6" x14ac:dyDescent="0.25">
      <c r="A13" t="s">
        <v>85</v>
      </c>
      <c r="B13" t="s">
        <v>181</v>
      </c>
      <c r="C13" s="2">
        <v>262543217.78999999</v>
      </c>
      <c r="E13" s="2" t="s">
        <v>23</v>
      </c>
      <c r="F13" s="2">
        <f>C85</f>
        <v>123494097.63</v>
      </c>
    </row>
    <row r="14" spans="1:6" x14ac:dyDescent="0.25">
      <c r="A14" t="s">
        <v>85</v>
      </c>
      <c r="B14" t="s">
        <v>182</v>
      </c>
      <c r="C14" s="2">
        <v>142155935.81</v>
      </c>
      <c r="E14" s="2" t="s">
        <v>25</v>
      </c>
      <c r="F14" s="2">
        <f>C97</f>
        <v>25215715.100000001</v>
      </c>
    </row>
    <row r="15" spans="1:6" x14ac:dyDescent="0.25">
      <c r="A15" t="s">
        <v>85</v>
      </c>
      <c r="B15" t="s">
        <v>183</v>
      </c>
      <c r="C15" s="2">
        <v>117758794.79000001</v>
      </c>
    </row>
    <row r="16" spans="1:6" x14ac:dyDescent="0.25">
      <c r="A16" t="s">
        <v>85</v>
      </c>
      <c r="B16" t="s">
        <v>184</v>
      </c>
      <c r="C16" s="2">
        <v>24397141.02</v>
      </c>
    </row>
    <row r="17" spans="1:3" x14ac:dyDescent="0.25">
      <c r="A17" t="s">
        <v>85</v>
      </c>
      <c r="B17" t="s">
        <v>185</v>
      </c>
      <c r="C17" s="2">
        <v>120387281.98</v>
      </c>
    </row>
    <row r="18" spans="1:3" x14ac:dyDescent="0.25">
      <c r="A18" t="s">
        <v>85</v>
      </c>
      <c r="B18" t="s">
        <v>186</v>
      </c>
      <c r="C18" s="2">
        <v>120387281.98</v>
      </c>
    </row>
    <row r="19" spans="1:3" x14ac:dyDescent="0.25">
      <c r="A19" t="s">
        <v>85</v>
      </c>
      <c r="B19" t="s">
        <v>187</v>
      </c>
      <c r="C19" s="2">
        <v>32981891.300000001</v>
      </c>
    </row>
    <row r="20" spans="1:3" x14ac:dyDescent="0.25">
      <c r="A20" t="s">
        <v>85</v>
      </c>
      <c r="B20" t="s">
        <v>188</v>
      </c>
      <c r="C20" s="2">
        <v>12426419.74</v>
      </c>
    </row>
    <row r="21" spans="1:3" x14ac:dyDescent="0.25">
      <c r="A21" t="s">
        <v>85</v>
      </c>
      <c r="B21" t="s">
        <v>189</v>
      </c>
      <c r="C21" s="2">
        <v>12426419.74</v>
      </c>
    </row>
    <row r="22" spans="1:3" x14ac:dyDescent="0.25">
      <c r="A22" t="s">
        <v>85</v>
      </c>
      <c r="B22" t="s">
        <v>190</v>
      </c>
      <c r="C22" s="2">
        <v>20555471.559999999</v>
      </c>
    </row>
    <row r="23" spans="1:3" x14ac:dyDescent="0.25">
      <c r="A23" t="s">
        <v>85</v>
      </c>
      <c r="B23" t="s">
        <v>191</v>
      </c>
      <c r="C23" s="2">
        <v>20555471.559999999</v>
      </c>
    </row>
    <row r="24" spans="1:3" x14ac:dyDescent="0.25">
      <c r="A24" t="s">
        <v>85</v>
      </c>
      <c r="B24" t="s">
        <v>192</v>
      </c>
      <c r="C24" s="2">
        <v>52105362.649999999</v>
      </c>
    </row>
    <row r="25" spans="1:3" x14ac:dyDescent="0.25">
      <c r="A25" t="s">
        <v>85</v>
      </c>
      <c r="B25" t="s">
        <v>259</v>
      </c>
      <c r="C25" s="2">
        <v>33333923.800000001</v>
      </c>
    </row>
    <row r="26" spans="1:3" x14ac:dyDescent="0.25">
      <c r="A26" t="s">
        <v>85</v>
      </c>
      <c r="B26" t="s">
        <v>260</v>
      </c>
      <c r="C26" s="2">
        <v>33333923.800000001</v>
      </c>
    </row>
    <row r="27" spans="1:3" x14ac:dyDescent="0.25">
      <c r="A27" t="s">
        <v>85</v>
      </c>
      <c r="B27" t="s">
        <v>261</v>
      </c>
      <c r="C27" s="2">
        <v>167750.07</v>
      </c>
    </row>
    <row r="28" spans="1:3" x14ac:dyDescent="0.25">
      <c r="A28" t="s">
        <v>85</v>
      </c>
      <c r="B28" t="s">
        <v>262</v>
      </c>
      <c r="C28" s="2">
        <v>31766460.379999999</v>
      </c>
    </row>
    <row r="29" spans="1:3" x14ac:dyDescent="0.25">
      <c r="A29" t="s">
        <v>85</v>
      </c>
      <c r="B29" t="s">
        <v>263</v>
      </c>
      <c r="C29" s="2">
        <v>1290502.26</v>
      </c>
    </row>
    <row r="30" spans="1:3" x14ac:dyDescent="0.25">
      <c r="A30" t="s">
        <v>85</v>
      </c>
      <c r="B30" t="s">
        <v>264</v>
      </c>
      <c r="C30" s="2">
        <v>55412.31</v>
      </c>
    </row>
    <row r="31" spans="1:3" x14ac:dyDescent="0.25">
      <c r="A31" t="s">
        <v>85</v>
      </c>
      <c r="B31" t="s">
        <v>265</v>
      </c>
      <c r="C31" s="2">
        <v>53798.78</v>
      </c>
    </row>
    <row r="32" spans="1:3" x14ac:dyDescent="0.25">
      <c r="A32" t="s">
        <v>85</v>
      </c>
      <c r="B32" t="s">
        <v>193</v>
      </c>
      <c r="C32" s="2">
        <v>18771438.850000001</v>
      </c>
    </row>
    <row r="33" spans="1:3" x14ac:dyDescent="0.25">
      <c r="A33" t="s">
        <v>85</v>
      </c>
      <c r="B33" t="s">
        <v>194</v>
      </c>
      <c r="C33" s="2">
        <v>29789486.100000001</v>
      </c>
    </row>
    <row r="34" spans="1:3" x14ac:dyDescent="0.25">
      <c r="A34" t="s">
        <v>85</v>
      </c>
      <c r="B34" t="s">
        <v>195</v>
      </c>
      <c r="C34" s="2">
        <v>29789486.100000001</v>
      </c>
    </row>
    <row r="35" spans="1:3" x14ac:dyDescent="0.25">
      <c r="A35" t="s">
        <v>85</v>
      </c>
      <c r="B35" t="s">
        <v>196</v>
      </c>
      <c r="C35" s="2">
        <v>29781999.140000001</v>
      </c>
    </row>
    <row r="36" spans="1:3" x14ac:dyDescent="0.25">
      <c r="A36" t="s">
        <v>85</v>
      </c>
      <c r="B36" t="s">
        <v>197</v>
      </c>
      <c r="C36" s="2">
        <v>8736488.1600000001</v>
      </c>
    </row>
    <row r="37" spans="1:3" x14ac:dyDescent="0.25">
      <c r="A37" t="s">
        <v>85</v>
      </c>
      <c r="B37" t="s">
        <v>266</v>
      </c>
      <c r="C37" s="2">
        <v>21045510.98</v>
      </c>
    </row>
    <row r="38" spans="1:3" x14ac:dyDescent="0.25">
      <c r="A38" t="s">
        <v>85</v>
      </c>
      <c r="B38" t="s">
        <v>267</v>
      </c>
      <c r="C38" s="2">
        <v>7486.96</v>
      </c>
    </row>
    <row r="39" spans="1:3" x14ac:dyDescent="0.25">
      <c r="A39" t="s">
        <v>85</v>
      </c>
      <c r="B39" t="s">
        <v>268</v>
      </c>
      <c r="C39" s="2">
        <v>8065918.5499999998</v>
      </c>
    </row>
    <row r="40" spans="1:3" x14ac:dyDescent="0.25">
      <c r="A40" t="s">
        <v>85</v>
      </c>
      <c r="B40" t="s">
        <v>269</v>
      </c>
      <c r="C40" s="2">
        <v>4669050.91</v>
      </c>
    </row>
    <row r="41" spans="1:3" x14ac:dyDescent="0.25">
      <c r="A41" t="s">
        <v>85</v>
      </c>
      <c r="B41" t="s">
        <v>270</v>
      </c>
      <c r="C41" s="2">
        <v>4669050.91</v>
      </c>
    </row>
    <row r="42" spans="1:3" x14ac:dyDescent="0.25">
      <c r="A42" t="s">
        <v>85</v>
      </c>
      <c r="B42" t="s">
        <v>271</v>
      </c>
      <c r="C42" s="2">
        <v>3396867.64</v>
      </c>
    </row>
    <row r="43" spans="1:3" x14ac:dyDescent="0.25">
      <c r="A43" t="s">
        <v>85</v>
      </c>
      <c r="B43" t="s">
        <v>272</v>
      </c>
      <c r="C43" s="2">
        <v>3396867.64</v>
      </c>
    </row>
    <row r="44" spans="1:3" x14ac:dyDescent="0.25">
      <c r="A44" t="s">
        <v>85</v>
      </c>
      <c r="B44" t="s">
        <v>200</v>
      </c>
      <c r="C44" s="2">
        <v>782118273.75999999</v>
      </c>
    </row>
    <row r="45" spans="1:3" x14ac:dyDescent="0.25">
      <c r="A45" t="s">
        <v>85</v>
      </c>
      <c r="B45" t="s">
        <v>201</v>
      </c>
      <c r="C45" s="2">
        <v>170686525.59999999</v>
      </c>
    </row>
    <row r="46" spans="1:3" x14ac:dyDescent="0.25">
      <c r="A46" t="s">
        <v>85</v>
      </c>
      <c r="B46" t="s">
        <v>202</v>
      </c>
      <c r="C46" s="2">
        <v>170686525.59999999</v>
      </c>
    </row>
    <row r="47" spans="1:3" x14ac:dyDescent="0.25">
      <c r="A47" t="s">
        <v>85</v>
      </c>
      <c r="B47" t="s">
        <v>203</v>
      </c>
      <c r="C47" s="2">
        <v>95661207.609999999</v>
      </c>
    </row>
    <row r="48" spans="1:3" x14ac:dyDescent="0.25">
      <c r="A48" t="s">
        <v>85</v>
      </c>
      <c r="B48" t="s">
        <v>204</v>
      </c>
      <c r="C48" s="2">
        <v>87848027.030000001</v>
      </c>
    </row>
    <row r="49" spans="1:7" x14ac:dyDescent="0.25">
      <c r="A49" t="s">
        <v>85</v>
      </c>
      <c r="B49" t="s">
        <v>205</v>
      </c>
      <c r="C49" s="2">
        <v>3900768.52</v>
      </c>
    </row>
    <row r="50" spans="1:7" x14ac:dyDescent="0.25">
      <c r="A50" t="s">
        <v>85</v>
      </c>
      <c r="B50" t="s">
        <v>206</v>
      </c>
      <c r="C50" s="2">
        <v>3805794.93</v>
      </c>
    </row>
    <row r="51" spans="1:7" x14ac:dyDescent="0.25">
      <c r="A51" t="s">
        <v>85</v>
      </c>
      <c r="B51" t="s">
        <v>207</v>
      </c>
      <c r="C51" s="2">
        <v>106617.13</v>
      </c>
    </row>
    <row r="52" spans="1:7" x14ac:dyDescent="0.25">
      <c r="A52" t="s">
        <v>85</v>
      </c>
      <c r="B52" t="s">
        <v>208</v>
      </c>
      <c r="C52" s="2">
        <v>5961274.5300000003</v>
      </c>
    </row>
    <row r="53" spans="1:7" x14ac:dyDescent="0.25">
      <c r="A53" t="s">
        <v>85</v>
      </c>
      <c r="B53" t="s">
        <v>209</v>
      </c>
      <c r="C53" s="2">
        <v>7522.64</v>
      </c>
    </row>
    <row r="54" spans="1:7" x14ac:dyDescent="0.25">
      <c r="A54" t="s">
        <v>85</v>
      </c>
      <c r="B54" t="s">
        <v>273</v>
      </c>
      <c r="C54" s="2">
        <v>4492178.9800000004</v>
      </c>
    </row>
    <row r="55" spans="1:7" x14ac:dyDescent="0.25">
      <c r="A55" t="s">
        <v>85</v>
      </c>
      <c r="B55" t="s">
        <v>210</v>
      </c>
      <c r="C55" s="2">
        <v>1461572.91</v>
      </c>
    </row>
    <row r="56" spans="1:7" x14ac:dyDescent="0.25">
      <c r="A56" t="s">
        <v>85</v>
      </c>
      <c r="B56" t="s">
        <v>211</v>
      </c>
      <c r="C56" s="2">
        <v>50131055.710000001</v>
      </c>
    </row>
    <row r="57" spans="1:7" x14ac:dyDescent="0.25">
      <c r="A57" t="s">
        <v>85</v>
      </c>
      <c r="B57" t="s">
        <v>212</v>
      </c>
      <c r="C57" s="2">
        <v>2477311.4</v>
      </c>
    </row>
    <row r="58" spans="1:7" x14ac:dyDescent="0.25">
      <c r="A58" t="s">
        <v>85</v>
      </c>
      <c r="B58" t="s">
        <v>213</v>
      </c>
      <c r="C58" s="2">
        <v>12808779.52</v>
      </c>
    </row>
    <row r="59" spans="1:7" x14ac:dyDescent="0.25">
      <c r="A59" t="s">
        <v>85</v>
      </c>
      <c r="B59" t="s">
        <v>214</v>
      </c>
      <c r="C59" s="2">
        <v>4931523.9800000004</v>
      </c>
    </row>
    <row r="60" spans="1:7" x14ac:dyDescent="0.25">
      <c r="A60" t="s">
        <v>85</v>
      </c>
      <c r="B60" t="s">
        <v>215</v>
      </c>
      <c r="C60" s="2">
        <v>10660</v>
      </c>
    </row>
    <row r="61" spans="1:7" x14ac:dyDescent="0.25">
      <c r="A61" t="s">
        <v>85</v>
      </c>
      <c r="B61" t="s">
        <v>216</v>
      </c>
      <c r="C61" s="2">
        <v>3693436.4</v>
      </c>
    </row>
    <row r="62" spans="1:7" x14ac:dyDescent="0.25">
      <c r="A62" t="s">
        <v>85</v>
      </c>
      <c r="B62" t="s">
        <v>217</v>
      </c>
      <c r="C62" s="2">
        <v>396642.25</v>
      </c>
    </row>
    <row r="63" spans="1:7" x14ac:dyDescent="0.25">
      <c r="A63" t="s">
        <v>85</v>
      </c>
      <c r="B63" t="s">
        <v>218</v>
      </c>
      <c r="C63" s="2">
        <v>3776516.89</v>
      </c>
    </row>
    <row r="64" spans="1:7" x14ac:dyDescent="0.25">
      <c r="A64" t="s">
        <v>85</v>
      </c>
      <c r="B64" t="s">
        <v>219</v>
      </c>
      <c r="C64" s="2">
        <v>1435897.92</v>
      </c>
      <c r="G64" s="1"/>
    </row>
    <row r="65" spans="1:7" x14ac:dyDescent="0.25">
      <c r="A65" t="s">
        <v>85</v>
      </c>
      <c r="B65" t="s">
        <v>220</v>
      </c>
      <c r="C65" s="2">
        <v>1435897.92</v>
      </c>
      <c r="G65" s="1"/>
    </row>
    <row r="66" spans="1:7" x14ac:dyDescent="0.25">
      <c r="A66" t="s">
        <v>85</v>
      </c>
      <c r="B66" t="s">
        <v>221</v>
      </c>
      <c r="C66" s="2">
        <v>1965980.46</v>
      </c>
    </row>
    <row r="67" spans="1:7" x14ac:dyDescent="0.25">
      <c r="A67" t="s">
        <v>85</v>
      </c>
      <c r="B67" t="s">
        <v>274</v>
      </c>
      <c r="C67" s="2">
        <v>1965980.46</v>
      </c>
    </row>
    <row r="68" spans="1:7" x14ac:dyDescent="0.25">
      <c r="A68" t="s">
        <v>85</v>
      </c>
      <c r="B68" t="s">
        <v>275</v>
      </c>
      <c r="C68" s="2">
        <v>245018.45</v>
      </c>
    </row>
    <row r="69" spans="1:7" x14ac:dyDescent="0.25">
      <c r="A69" t="s">
        <v>85</v>
      </c>
      <c r="B69" t="s">
        <v>223</v>
      </c>
      <c r="C69" s="2">
        <v>487912650.52999997</v>
      </c>
    </row>
    <row r="70" spans="1:7" x14ac:dyDescent="0.25">
      <c r="A70" t="s">
        <v>85</v>
      </c>
      <c r="B70" t="s">
        <v>224</v>
      </c>
      <c r="C70" s="2">
        <v>487912650.52999997</v>
      </c>
    </row>
    <row r="71" spans="1:7" x14ac:dyDescent="0.25">
      <c r="A71" t="s">
        <v>85</v>
      </c>
      <c r="B71" t="s">
        <v>225</v>
      </c>
      <c r="C71" s="2">
        <v>484646897.48000002</v>
      </c>
    </row>
    <row r="72" spans="1:7" x14ac:dyDescent="0.25">
      <c r="A72" t="s">
        <v>85</v>
      </c>
      <c r="B72" t="s">
        <v>226</v>
      </c>
      <c r="C72" s="2">
        <v>461836850.19</v>
      </c>
    </row>
    <row r="73" spans="1:7" x14ac:dyDescent="0.25">
      <c r="A73" t="s">
        <v>85</v>
      </c>
      <c r="B73" t="s">
        <v>227</v>
      </c>
      <c r="C73" s="2">
        <v>17512181.199999999</v>
      </c>
    </row>
    <row r="74" spans="1:7" x14ac:dyDescent="0.25">
      <c r="A74" t="s">
        <v>85</v>
      </c>
      <c r="B74" t="s">
        <v>228</v>
      </c>
      <c r="C74" s="2">
        <v>4791110.66</v>
      </c>
    </row>
    <row r="75" spans="1:7" x14ac:dyDescent="0.25">
      <c r="A75" t="s">
        <v>85</v>
      </c>
      <c r="B75" t="s">
        <v>229</v>
      </c>
      <c r="C75" s="2">
        <v>316313.83</v>
      </c>
    </row>
    <row r="76" spans="1:7" x14ac:dyDescent="0.25">
      <c r="A76" t="s">
        <v>85</v>
      </c>
      <c r="B76" t="s">
        <v>276</v>
      </c>
      <c r="C76" s="2">
        <v>190441.60000000001</v>
      </c>
    </row>
    <row r="77" spans="1:7" x14ac:dyDescent="0.25">
      <c r="A77" t="s">
        <v>85</v>
      </c>
      <c r="B77" t="s">
        <v>230</v>
      </c>
      <c r="C77" s="2">
        <v>1456900</v>
      </c>
    </row>
    <row r="78" spans="1:7" x14ac:dyDescent="0.25">
      <c r="A78" t="s">
        <v>85</v>
      </c>
      <c r="B78" t="s">
        <v>277</v>
      </c>
      <c r="C78" s="2">
        <v>60118.3</v>
      </c>
    </row>
    <row r="79" spans="1:7" x14ac:dyDescent="0.25">
      <c r="A79" t="s">
        <v>85</v>
      </c>
      <c r="B79" t="s">
        <v>278</v>
      </c>
      <c r="C79" s="2">
        <v>60118.3</v>
      </c>
    </row>
    <row r="80" spans="1:7" x14ac:dyDescent="0.25">
      <c r="A80" t="s">
        <v>85</v>
      </c>
      <c r="B80" t="s">
        <v>231</v>
      </c>
      <c r="C80" s="2">
        <v>1748734.75</v>
      </c>
    </row>
    <row r="81" spans="1:3" x14ac:dyDescent="0.25">
      <c r="A81" t="s">
        <v>85</v>
      </c>
      <c r="B81" t="s">
        <v>232</v>
      </c>
      <c r="C81" s="2">
        <v>25000</v>
      </c>
    </row>
    <row r="82" spans="1:3" x14ac:dyDescent="0.25">
      <c r="A82" t="s">
        <v>85</v>
      </c>
      <c r="B82" t="s">
        <v>233</v>
      </c>
      <c r="C82" s="2">
        <v>25000</v>
      </c>
    </row>
    <row r="83" spans="1:3" x14ac:dyDescent="0.25">
      <c r="A83" t="s">
        <v>85</v>
      </c>
      <c r="B83" t="s">
        <v>234</v>
      </c>
      <c r="C83" s="2">
        <v>123494097.63</v>
      </c>
    </row>
    <row r="84" spans="1:3" x14ac:dyDescent="0.25">
      <c r="A84" t="s">
        <v>85</v>
      </c>
      <c r="B84" t="s">
        <v>235</v>
      </c>
      <c r="C84" s="2">
        <v>123494097.63</v>
      </c>
    </row>
    <row r="85" spans="1:3" x14ac:dyDescent="0.25">
      <c r="A85" t="s">
        <v>85</v>
      </c>
      <c r="B85" t="s">
        <v>236</v>
      </c>
      <c r="C85" s="2">
        <v>123494097.63</v>
      </c>
    </row>
    <row r="86" spans="1:3" x14ac:dyDescent="0.25">
      <c r="A86" t="s">
        <v>85</v>
      </c>
      <c r="B86" t="s">
        <v>237</v>
      </c>
      <c r="C86" s="2">
        <v>16208116.369999999</v>
      </c>
    </row>
    <row r="87" spans="1:3" x14ac:dyDescent="0.25">
      <c r="A87" t="s">
        <v>85</v>
      </c>
      <c r="B87" t="s">
        <v>238</v>
      </c>
      <c r="C87" s="2">
        <v>2888034.97</v>
      </c>
    </row>
    <row r="88" spans="1:3" x14ac:dyDescent="0.25">
      <c r="A88" t="s">
        <v>85</v>
      </c>
      <c r="B88" t="s">
        <v>239</v>
      </c>
      <c r="C88" s="2">
        <v>1376587.1</v>
      </c>
    </row>
    <row r="89" spans="1:3" x14ac:dyDescent="0.25">
      <c r="A89" t="s">
        <v>85</v>
      </c>
      <c r="B89" t="s">
        <v>241</v>
      </c>
      <c r="C89" s="2">
        <v>1376587.1</v>
      </c>
    </row>
    <row r="90" spans="1:3" x14ac:dyDescent="0.25">
      <c r="A90" t="s">
        <v>85</v>
      </c>
      <c r="B90" t="s">
        <v>279</v>
      </c>
      <c r="C90" s="2">
        <v>1265.22</v>
      </c>
    </row>
    <row r="91" spans="1:3" x14ac:dyDescent="0.25">
      <c r="A91" t="s">
        <v>85</v>
      </c>
      <c r="B91" t="s">
        <v>280</v>
      </c>
      <c r="C91" s="2">
        <v>114702.94</v>
      </c>
    </row>
    <row r="92" spans="1:3" x14ac:dyDescent="0.25">
      <c r="A92" t="s">
        <v>85</v>
      </c>
      <c r="B92" t="s">
        <v>242</v>
      </c>
      <c r="C92" s="2">
        <v>1260618.94</v>
      </c>
    </row>
    <row r="93" spans="1:3" x14ac:dyDescent="0.25">
      <c r="A93" t="s">
        <v>85</v>
      </c>
      <c r="B93" t="s">
        <v>243</v>
      </c>
      <c r="C93" s="2">
        <v>11943494.300000001</v>
      </c>
    </row>
    <row r="94" spans="1:3" x14ac:dyDescent="0.25">
      <c r="A94" t="s">
        <v>85</v>
      </c>
      <c r="B94" t="s">
        <v>281</v>
      </c>
      <c r="C94" s="2">
        <v>11288970.720000001</v>
      </c>
    </row>
    <row r="95" spans="1:3" x14ac:dyDescent="0.25">
      <c r="A95" t="s">
        <v>85</v>
      </c>
      <c r="B95" t="s">
        <v>244</v>
      </c>
      <c r="C95" s="2">
        <v>654523.57999999996</v>
      </c>
    </row>
    <row r="96" spans="1:3" x14ac:dyDescent="0.25">
      <c r="A96" t="s">
        <v>85</v>
      </c>
      <c r="B96" t="s">
        <v>245</v>
      </c>
      <c r="C96" s="2">
        <v>654523.57999999996</v>
      </c>
    </row>
    <row r="97" spans="1:3" x14ac:dyDescent="0.25">
      <c r="A97" t="s">
        <v>85</v>
      </c>
      <c r="B97" t="s">
        <v>246</v>
      </c>
      <c r="C97" s="2">
        <v>25215715.100000001</v>
      </c>
    </row>
    <row r="98" spans="1:3" x14ac:dyDescent="0.25">
      <c r="A98" t="s">
        <v>85</v>
      </c>
      <c r="B98" t="s">
        <v>247</v>
      </c>
      <c r="C98" s="2">
        <v>17666659.989999998</v>
      </c>
    </row>
    <row r="99" spans="1:3" x14ac:dyDescent="0.25">
      <c r="A99" t="s">
        <v>85</v>
      </c>
      <c r="B99" t="s">
        <v>248</v>
      </c>
      <c r="C99" s="2">
        <v>17666659.989999998</v>
      </c>
    </row>
    <row r="100" spans="1:3" x14ac:dyDescent="0.25">
      <c r="A100" t="s">
        <v>85</v>
      </c>
      <c r="B100" t="s">
        <v>282</v>
      </c>
      <c r="C100" s="2">
        <v>1283162.5</v>
      </c>
    </row>
    <row r="101" spans="1:3" x14ac:dyDescent="0.25">
      <c r="A101" t="s">
        <v>85</v>
      </c>
      <c r="B101" t="s">
        <v>283</v>
      </c>
      <c r="C101" s="2">
        <v>16383497.49</v>
      </c>
    </row>
    <row r="102" spans="1:3" x14ac:dyDescent="0.25">
      <c r="A102" t="s">
        <v>85</v>
      </c>
      <c r="B102" t="s">
        <v>253</v>
      </c>
      <c r="C102" s="2">
        <v>7549055.1100000003</v>
      </c>
    </row>
    <row r="103" spans="1:3" x14ac:dyDescent="0.25">
      <c r="A103" t="s">
        <v>85</v>
      </c>
      <c r="B103" t="s">
        <v>254</v>
      </c>
      <c r="C103" s="2">
        <v>7549055.1100000003</v>
      </c>
    </row>
    <row r="104" spans="1:3" x14ac:dyDescent="0.25">
      <c r="A104" t="s">
        <v>85</v>
      </c>
      <c r="B104" t="s">
        <v>255</v>
      </c>
      <c r="C104" s="2">
        <v>7549055.1100000003</v>
      </c>
    </row>
    <row r="105" spans="1:3" x14ac:dyDescent="0.25">
      <c r="A105" t="s">
        <v>85</v>
      </c>
      <c r="B105" t="s">
        <v>256</v>
      </c>
      <c r="C105" s="2">
        <v>660970</v>
      </c>
    </row>
    <row r="106" spans="1:3" x14ac:dyDescent="0.25">
      <c r="A106" t="s">
        <v>85</v>
      </c>
      <c r="B106" t="s">
        <v>257</v>
      </c>
      <c r="C106" s="2">
        <v>4051502.88</v>
      </c>
    </row>
    <row r="107" spans="1:3" x14ac:dyDescent="0.25">
      <c r="A107" t="s">
        <v>85</v>
      </c>
      <c r="B107" t="s">
        <v>258</v>
      </c>
      <c r="C107" s="2">
        <v>2836582.23</v>
      </c>
    </row>
    <row r="108" spans="1:3" x14ac:dyDescent="0.25">
      <c r="A108" t="s">
        <v>85</v>
      </c>
      <c r="B108" t="s">
        <v>284</v>
      </c>
      <c r="C108" s="2">
        <v>70546453.299999997</v>
      </c>
    </row>
    <row r="109" spans="1:3" x14ac:dyDescent="0.25">
      <c r="A109" t="s">
        <v>85</v>
      </c>
      <c r="B109" t="s">
        <v>285</v>
      </c>
      <c r="C109" s="2">
        <v>70546453.299999997</v>
      </c>
    </row>
    <row r="110" spans="1:3" x14ac:dyDescent="0.25">
      <c r="A110" t="s">
        <v>85</v>
      </c>
      <c r="B110" t="s">
        <v>286</v>
      </c>
      <c r="C110" s="2">
        <v>70546453.299999997</v>
      </c>
    </row>
    <row r="111" spans="1:3" x14ac:dyDescent="0.25">
      <c r="A111" t="s">
        <v>85</v>
      </c>
      <c r="B111" t="s">
        <v>287</v>
      </c>
      <c r="C111" s="2">
        <v>70546453.299999997</v>
      </c>
    </row>
    <row r="112" spans="1:3" x14ac:dyDescent="0.25">
      <c r="A112" t="s">
        <v>85</v>
      </c>
      <c r="B112" t="s">
        <v>288</v>
      </c>
      <c r="C112" s="2">
        <v>70546453.299999997</v>
      </c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5.5703125" customWidth="1"/>
    <col min="2" max="2" width="101.42578125" customWidth="1"/>
    <col min="3" max="3" width="18" bestFit="1" customWidth="1"/>
    <col min="4" max="4" width="13" customWidth="1"/>
    <col min="5" max="5" width="17.42578125" bestFit="1" customWidth="1"/>
    <col min="6" max="6" width="18" bestFit="1" customWidth="1"/>
    <col min="7" max="7" width="13" customWidth="1"/>
    <col min="8" max="8" width="16.85546875" bestFit="1" customWidth="1"/>
    <col min="9" max="10" width="13" customWidth="1"/>
  </cols>
  <sheetData>
    <row r="1" spans="1:6" x14ac:dyDescent="0.25">
      <c r="A1" t="s">
        <v>289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6</v>
      </c>
      <c r="B5" t="s">
        <v>290</v>
      </c>
      <c r="C5" s="2">
        <v>542987628.37</v>
      </c>
      <c r="E5" s="2" t="s">
        <v>7</v>
      </c>
      <c r="F5" s="2">
        <f>C5</f>
        <v>542987628.37</v>
      </c>
    </row>
    <row r="6" spans="1:6" x14ac:dyDescent="0.25">
      <c r="A6" t="s">
        <v>6</v>
      </c>
      <c r="B6" t="s">
        <v>174</v>
      </c>
      <c r="C6" s="2">
        <v>497602114.72000003</v>
      </c>
      <c r="E6" s="2" t="s">
        <v>9</v>
      </c>
      <c r="F6" s="2">
        <f>C7</f>
        <v>78736626.939999998</v>
      </c>
    </row>
    <row r="7" spans="1:6" x14ac:dyDescent="0.25">
      <c r="A7" t="s">
        <v>6</v>
      </c>
      <c r="B7" t="s">
        <v>175</v>
      </c>
      <c r="C7" s="2">
        <v>78736626.939999998</v>
      </c>
      <c r="E7" s="2" t="s">
        <v>11</v>
      </c>
      <c r="F7" s="2">
        <f>C15</f>
        <v>10083587.91</v>
      </c>
    </row>
    <row r="8" spans="1:6" x14ac:dyDescent="0.25">
      <c r="A8" t="s">
        <v>6</v>
      </c>
      <c r="B8" t="s">
        <v>176</v>
      </c>
      <c r="C8" s="2">
        <v>71731482.890000001</v>
      </c>
      <c r="E8" s="2" t="s">
        <v>13</v>
      </c>
      <c r="F8" s="2">
        <f>C16</f>
        <v>6853082.46</v>
      </c>
    </row>
    <row r="9" spans="1:6" x14ac:dyDescent="0.25">
      <c r="A9" t="s">
        <v>6</v>
      </c>
      <c r="B9" t="s">
        <v>177</v>
      </c>
      <c r="C9" s="2">
        <v>18808409.289999999</v>
      </c>
      <c r="E9" s="2" t="s">
        <v>15</v>
      </c>
      <c r="F9" s="2">
        <f>C18</f>
        <v>35986403.229999997</v>
      </c>
    </row>
    <row r="10" spans="1:6" x14ac:dyDescent="0.25">
      <c r="A10" t="s">
        <v>6</v>
      </c>
      <c r="B10" t="s">
        <v>178</v>
      </c>
      <c r="C10" s="2">
        <v>18808409.289999999</v>
      </c>
      <c r="E10" s="2" t="s">
        <v>121</v>
      </c>
      <c r="F10" s="2">
        <f>C36</f>
        <v>386550318.05000001</v>
      </c>
    </row>
    <row r="11" spans="1:6" x14ac:dyDescent="0.25">
      <c r="A11" t="s">
        <v>6</v>
      </c>
      <c r="B11" t="s">
        <v>179</v>
      </c>
      <c r="C11" s="2">
        <v>15704839.75</v>
      </c>
      <c r="E11" s="2" t="s">
        <v>19</v>
      </c>
      <c r="F11" s="2">
        <f>C40</f>
        <v>95204746.969999999</v>
      </c>
    </row>
    <row r="12" spans="1:6" x14ac:dyDescent="0.25">
      <c r="A12" t="s">
        <v>6</v>
      </c>
      <c r="B12" t="s">
        <v>180</v>
      </c>
      <c r="C12" s="2">
        <v>3103569.54</v>
      </c>
      <c r="E12" s="2" t="s">
        <v>21</v>
      </c>
      <c r="F12" s="2">
        <f>C64</f>
        <v>78748618.840000004</v>
      </c>
    </row>
    <row r="13" spans="1:6" x14ac:dyDescent="0.25">
      <c r="A13" t="s">
        <v>6</v>
      </c>
      <c r="B13" t="s">
        <v>181</v>
      </c>
      <c r="C13" s="2">
        <v>52923073.600000001</v>
      </c>
      <c r="E13" s="2" t="s">
        <v>23</v>
      </c>
      <c r="F13" s="2">
        <f>SUM(C58,C74)</f>
        <v>87679442.5</v>
      </c>
    </row>
    <row r="14" spans="1:6" x14ac:dyDescent="0.25">
      <c r="A14" t="s">
        <v>6</v>
      </c>
      <c r="B14" t="s">
        <v>182</v>
      </c>
      <c r="C14" s="2">
        <v>16936670.370000001</v>
      </c>
      <c r="E14" s="2" t="s">
        <v>25</v>
      </c>
      <c r="F14" s="2">
        <f>C86</f>
        <v>45385513.649999999</v>
      </c>
    </row>
    <row r="15" spans="1:6" x14ac:dyDescent="0.25">
      <c r="A15" t="s">
        <v>6</v>
      </c>
      <c r="B15" t="s">
        <v>183</v>
      </c>
      <c r="C15" s="2">
        <v>10083587.91</v>
      </c>
    </row>
    <row r="16" spans="1:6" x14ac:dyDescent="0.25">
      <c r="A16" t="s">
        <v>6</v>
      </c>
      <c r="B16" t="s">
        <v>184</v>
      </c>
      <c r="C16" s="2">
        <v>6853082.46</v>
      </c>
    </row>
    <row r="17" spans="1:3" x14ac:dyDescent="0.25">
      <c r="A17" t="s">
        <v>6</v>
      </c>
      <c r="B17" t="s">
        <v>185</v>
      </c>
      <c r="C17" s="2">
        <v>35986403.229999997</v>
      </c>
    </row>
    <row r="18" spans="1:3" x14ac:dyDescent="0.25">
      <c r="A18" t="s">
        <v>6</v>
      </c>
      <c r="B18" t="s">
        <v>186</v>
      </c>
      <c r="C18" s="2">
        <v>35986403.229999997</v>
      </c>
    </row>
    <row r="19" spans="1:3" x14ac:dyDescent="0.25">
      <c r="A19" t="s">
        <v>6</v>
      </c>
      <c r="B19" t="s">
        <v>187</v>
      </c>
      <c r="C19" s="2">
        <v>7005144.0499999998</v>
      </c>
    </row>
    <row r="20" spans="1:3" x14ac:dyDescent="0.25">
      <c r="A20" t="s">
        <v>6</v>
      </c>
      <c r="B20" t="s">
        <v>188</v>
      </c>
      <c r="C20" s="2">
        <v>4961049.6900000004</v>
      </c>
    </row>
    <row r="21" spans="1:3" x14ac:dyDescent="0.25">
      <c r="A21" t="s">
        <v>6</v>
      </c>
      <c r="B21" t="s">
        <v>189</v>
      </c>
      <c r="C21" s="2">
        <v>4824915.47</v>
      </c>
    </row>
    <row r="22" spans="1:3" x14ac:dyDescent="0.25">
      <c r="A22" t="s">
        <v>6</v>
      </c>
      <c r="B22" t="s">
        <v>291</v>
      </c>
      <c r="C22" s="2">
        <v>136134.22</v>
      </c>
    </row>
    <row r="23" spans="1:3" x14ac:dyDescent="0.25">
      <c r="A23" t="s">
        <v>6</v>
      </c>
      <c r="B23" t="s">
        <v>190</v>
      </c>
      <c r="C23" s="2">
        <v>1447844.23</v>
      </c>
    </row>
    <row r="24" spans="1:3" x14ac:dyDescent="0.25">
      <c r="A24" t="s">
        <v>6</v>
      </c>
      <c r="B24" t="s">
        <v>191</v>
      </c>
      <c r="C24" s="2">
        <v>1447844.23</v>
      </c>
    </row>
    <row r="25" spans="1:3" x14ac:dyDescent="0.25">
      <c r="A25" t="s">
        <v>6</v>
      </c>
      <c r="B25" t="s">
        <v>292</v>
      </c>
      <c r="C25" s="2">
        <v>596250.13</v>
      </c>
    </row>
    <row r="26" spans="1:3" x14ac:dyDescent="0.25">
      <c r="A26" t="s">
        <v>6</v>
      </c>
      <c r="B26" t="s">
        <v>293</v>
      </c>
      <c r="C26" s="2">
        <v>596250.13</v>
      </c>
    </row>
    <row r="27" spans="1:3" x14ac:dyDescent="0.25">
      <c r="A27" t="s">
        <v>6</v>
      </c>
      <c r="B27" t="s">
        <v>294</v>
      </c>
      <c r="C27" s="2">
        <v>596250.13</v>
      </c>
    </row>
    <row r="28" spans="1:3" x14ac:dyDescent="0.25">
      <c r="A28" t="s">
        <v>6</v>
      </c>
      <c r="B28" t="s">
        <v>192</v>
      </c>
      <c r="C28" s="2">
        <v>7292742.3799999999</v>
      </c>
    </row>
    <row r="29" spans="1:3" x14ac:dyDescent="0.25">
      <c r="A29" t="s">
        <v>6</v>
      </c>
      <c r="B29" t="s">
        <v>193</v>
      </c>
      <c r="C29" s="2">
        <v>7292742.3799999999</v>
      </c>
    </row>
    <row r="30" spans="1:3" x14ac:dyDescent="0.25">
      <c r="A30" t="s">
        <v>6</v>
      </c>
      <c r="B30" t="s">
        <v>194</v>
      </c>
      <c r="C30" s="2">
        <v>12710672.24</v>
      </c>
    </row>
    <row r="31" spans="1:3" x14ac:dyDescent="0.25">
      <c r="A31" t="s">
        <v>6</v>
      </c>
      <c r="B31" t="s">
        <v>195</v>
      </c>
      <c r="C31" s="2">
        <v>6600301.7599999998</v>
      </c>
    </row>
    <row r="32" spans="1:3" x14ac:dyDescent="0.25">
      <c r="A32" t="s">
        <v>6</v>
      </c>
      <c r="B32" t="s">
        <v>196</v>
      </c>
      <c r="C32" s="2">
        <v>6591183.2999999998</v>
      </c>
    </row>
    <row r="33" spans="1:8" x14ac:dyDescent="0.25">
      <c r="A33" t="s">
        <v>6</v>
      </c>
      <c r="B33" t="s">
        <v>197</v>
      </c>
      <c r="C33" s="2">
        <v>6591183.2999999998</v>
      </c>
    </row>
    <row r="34" spans="1:8" x14ac:dyDescent="0.25">
      <c r="A34" t="s">
        <v>6</v>
      </c>
      <c r="B34" t="s">
        <v>198</v>
      </c>
      <c r="C34" s="2">
        <v>9118.4599999999991</v>
      </c>
    </row>
    <row r="35" spans="1:8" x14ac:dyDescent="0.25">
      <c r="A35" t="s">
        <v>6</v>
      </c>
      <c r="B35" t="s">
        <v>295</v>
      </c>
      <c r="C35" s="2">
        <v>6110370.4800000004</v>
      </c>
    </row>
    <row r="36" spans="1:8" x14ac:dyDescent="0.25">
      <c r="A36" t="s">
        <v>6</v>
      </c>
      <c r="B36" t="s">
        <v>200</v>
      </c>
      <c r="C36" s="2">
        <v>386550318.05000001</v>
      </c>
    </row>
    <row r="37" spans="1:8" x14ac:dyDescent="0.25">
      <c r="A37" t="s">
        <v>6</v>
      </c>
      <c r="B37" t="s">
        <v>201</v>
      </c>
      <c r="C37" s="2">
        <v>222889035.58000001</v>
      </c>
    </row>
    <row r="38" spans="1:8" x14ac:dyDescent="0.25">
      <c r="A38" t="s">
        <v>6</v>
      </c>
      <c r="B38" t="s">
        <v>202</v>
      </c>
      <c r="C38" s="2">
        <v>222889035.58000001</v>
      </c>
    </row>
    <row r="39" spans="1:8" x14ac:dyDescent="0.25">
      <c r="A39" t="s">
        <v>6</v>
      </c>
      <c r="B39" t="s">
        <v>203</v>
      </c>
      <c r="C39" s="2">
        <v>107217150.73999999</v>
      </c>
    </row>
    <row r="40" spans="1:8" x14ac:dyDescent="0.25">
      <c r="A40" t="s">
        <v>6</v>
      </c>
      <c r="B40" t="s">
        <v>204</v>
      </c>
      <c r="C40" s="2">
        <v>95204746.969999999</v>
      </c>
    </row>
    <row r="41" spans="1:8" x14ac:dyDescent="0.25">
      <c r="A41" t="s">
        <v>6</v>
      </c>
      <c r="B41" t="s">
        <v>205</v>
      </c>
      <c r="C41" s="2">
        <v>4200239.13</v>
      </c>
    </row>
    <row r="42" spans="1:8" x14ac:dyDescent="0.25">
      <c r="A42" t="s">
        <v>6</v>
      </c>
      <c r="B42" t="s">
        <v>206</v>
      </c>
      <c r="C42" s="2">
        <v>4047000.16</v>
      </c>
    </row>
    <row r="43" spans="1:8" x14ac:dyDescent="0.25">
      <c r="A43" t="s">
        <v>6</v>
      </c>
      <c r="B43" t="s">
        <v>207</v>
      </c>
      <c r="C43" s="2">
        <v>3765164.48</v>
      </c>
    </row>
    <row r="44" spans="1:8" x14ac:dyDescent="0.25">
      <c r="A44" t="s">
        <v>6</v>
      </c>
      <c r="B44" t="s">
        <v>208</v>
      </c>
      <c r="C44" s="2">
        <v>1499234.29</v>
      </c>
    </row>
    <row r="45" spans="1:8" x14ac:dyDescent="0.25">
      <c r="A45" t="s">
        <v>6</v>
      </c>
      <c r="B45" t="s">
        <v>296</v>
      </c>
      <c r="C45" s="2">
        <v>32087.25</v>
      </c>
    </row>
    <row r="46" spans="1:8" x14ac:dyDescent="0.25">
      <c r="A46" t="s">
        <v>6</v>
      </c>
      <c r="B46" t="s">
        <v>210</v>
      </c>
      <c r="C46" s="2">
        <v>1467147.04</v>
      </c>
    </row>
    <row r="47" spans="1:8" x14ac:dyDescent="0.25">
      <c r="A47" t="s">
        <v>6</v>
      </c>
      <c r="B47" t="s">
        <v>297</v>
      </c>
      <c r="C47" s="2">
        <v>78879295.859999999</v>
      </c>
      <c r="H47" s="1"/>
    </row>
    <row r="48" spans="1:8" x14ac:dyDescent="0.25">
      <c r="A48" t="s">
        <v>6</v>
      </c>
      <c r="B48" t="s">
        <v>298</v>
      </c>
      <c r="C48" s="2">
        <v>16923052.800000001</v>
      </c>
      <c r="H48" s="1"/>
    </row>
    <row r="49" spans="1:3" x14ac:dyDescent="0.25">
      <c r="A49" t="s">
        <v>6</v>
      </c>
      <c r="B49" t="s">
        <v>299</v>
      </c>
      <c r="C49" s="2">
        <v>59371109.390000001</v>
      </c>
    </row>
    <row r="50" spans="1:3" x14ac:dyDescent="0.25">
      <c r="A50" t="s">
        <v>6</v>
      </c>
      <c r="B50" t="s">
        <v>300</v>
      </c>
      <c r="C50" s="2">
        <v>1693229.75</v>
      </c>
    </row>
    <row r="51" spans="1:3" x14ac:dyDescent="0.25">
      <c r="A51" t="s">
        <v>6</v>
      </c>
      <c r="B51" t="s">
        <v>301</v>
      </c>
      <c r="C51" s="2">
        <v>871903.92</v>
      </c>
    </row>
    <row r="52" spans="1:3" x14ac:dyDescent="0.25">
      <c r="A52" t="s">
        <v>6</v>
      </c>
      <c r="B52" t="s">
        <v>302</v>
      </c>
      <c r="C52" s="2">
        <v>20000</v>
      </c>
    </row>
    <row r="53" spans="1:3" x14ac:dyDescent="0.25">
      <c r="A53" t="s">
        <v>6</v>
      </c>
      <c r="B53" t="s">
        <v>213</v>
      </c>
      <c r="C53" s="2">
        <v>5973651.75</v>
      </c>
    </row>
    <row r="54" spans="1:3" x14ac:dyDescent="0.25">
      <c r="A54" t="s">
        <v>6</v>
      </c>
      <c r="B54" t="s">
        <v>214</v>
      </c>
      <c r="C54" s="2">
        <v>3360566.39</v>
      </c>
    </row>
    <row r="55" spans="1:3" x14ac:dyDescent="0.25">
      <c r="A55" t="s">
        <v>6</v>
      </c>
      <c r="B55" t="s">
        <v>215</v>
      </c>
      <c r="C55" s="2">
        <v>14340</v>
      </c>
    </row>
    <row r="56" spans="1:3" x14ac:dyDescent="0.25">
      <c r="A56" t="s">
        <v>6</v>
      </c>
      <c r="B56" t="s">
        <v>216</v>
      </c>
      <c r="C56" s="2">
        <v>2144426</v>
      </c>
    </row>
    <row r="57" spans="1:3" x14ac:dyDescent="0.25">
      <c r="A57" t="s">
        <v>6</v>
      </c>
      <c r="B57" t="s">
        <v>217</v>
      </c>
      <c r="C57" s="2">
        <v>454319.35999999999</v>
      </c>
    </row>
    <row r="58" spans="1:3" x14ac:dyDescent="0.25">
      <c r="A58" t="s">
        <v>6</v>
      </c>
      <c r="B58" t="s">
        <v>303</v>
      </c>
      <c r="C58" s="2">
        <v>21360681.420000002</v>
      </c>
    </row>
    <row r="59" spans="1:3" x14ac:dyDescent="0.25">
      <c r="A59" t="s">
        <v>6</v>
      </c>
      <c r="B59" t="s">
        <v>304</v>
      </c>
      <c r="C59" s="2">
        <v>2982460.42</v>
      </c>
    </row>
    <row r="60" spans="1:3" x14ac:dyDescent="0.25">
      <c r="A60" t="s">
        <v>6</v>
      </c>
      <c r="B60" t="s">
        <v>275</v>
      </c>
      <c r="C60" s="2">
        <v>4976561.0999999996</v>
      </c>
    </row>
    <row r="61" spans="1:3" x14ac:dyDescent="0.25">
      <c r="A61" t="s">
        <v>6</v>
      </c>
      <c r="B61" t="s">
        <v>223</v>
      </c>
      <c r="C61" s="2">
        <v>97326151.900000006</v>
      </c>
    </row>
    <row r="62" spans="1:3" x14ac:dyDescent="0.25">
      <c r="A62" t="s">
        <v>6</v>
      </c>
      <c r="B62" t="s">
        <v>224</v>
      </c>
      <c r="C62" s="2">
        <v>97326151.900000006</v>
      </c>
    </row>
    <row r="63" spans="1:3" x14ac:dyDescent="0.25">
      <c r="A63" t="s">
        <v>6</v>
      </c>
      <c r="B63" t="s">
        <v>225</v>
      </c>
      <c r="C63" s="2">
        <v>95066880.790000007</v>
      </c>
    </row>
    <row r="64" spans="1:3" x14ac:dyDescent="0.25">
      <c r="A64" t="s">
        <v>6</v>
      </c>
      <c r="B64" t="s">
        <v>226</v>
      </c>
      <c r="C64" s="2">
        <v>78748618.840000004</v>
      </c>
    </row>
    <row r="65" spans="1:3" x14ac:dyDescent="0.25">
      <c r="A65" t="s">
        <v>6</v>
      </c>
      <c r="B65" t="s">
        <v>227</v>
      </c>
      <c r="C65" s="2">
        <v>15570419.84</v>
      </c>
    </row>
    <row r="66" spans="1:3" x14ac:dyDescent="0.25">
      <c r="A66" t="s">
        <v>6</v>
      </c>
      <c r="B66" t="s">
        <v>228</v>
      </c>
      <c r="C66" s="2">
        <v>617067.80000000005</v>
      </c>
    </row>
    <row r="67" spans="1:3" x14ac:dyDescent="0.25">
      <c r="A67" t="s">
        <v>6</v>
      </c>
      <c r="B67" t="s">
        <v>229</v>
      </c>
      <c r="C67" s="2">
        <v>130774.31</v>
      </c>
    </row>
    <row r="68" spans="1:3" x14ac:dyDescent="0.25">
      <c r="A68" t="s">
        <v>6</v>
      </c>
      <c r="B68" t="s">
        <v>230</v>
      </c>
      <c r="C68" s="2">
        <v>2034838.5</v>
      </c>
    </row>
    <row r="69" spans="1:3" x14ac:dyDescent="0.25">
      <c r="A69" t="s">
        <v>6</v>
      </c>
      <c r="B69" t="s">
        <v>231</v>
      </c>
      <c r="C69" s="2">
        <v>224432.61</v>
      </c>
    </row>
    <row r="70" spans="1:3" x14ac:dyDescent="0.25">
      <c r="A70" t="s">
        <v>6</v>
      </c>
      <c r="B70" t="s">
        <v>232</v>
      </c>
      <c r="C70" s="2">
        <v>16369.49</v>
      </c>
    </row>
    <row r="71" spans="1:3" x14ac:dyDescent="0.25">
      <c r="A71" t="s">
        <v>6</v>
      </c>
      <c r="B71" t="s">
        <v>305</v>
      </c>
      <c r="C71" s="2">
        <v>16369.49</v>
      </c>
    </row>
    <row r="72" spans="1:3" x14ac:dyDescent="0.25">
      <c r="A72" t="s">
        <v>6</v>
      </c>
      <c r="B72" t="s">
        <v>234</v>
      </c>
      <c r="C72" s="2">
        <v>66318761.079999998</v>
      </c>
    </row>
    <row r="73" spans="1:3" x14ac:dyDescent="0.25">
      <c r="A73" t="s">
        <v>6</v>
      </c>
      <c r="B73" t="s">
        <v>235</v>
      </c>
      <c r="C73" s="2">
        <v>66318761.079999998</v>
      </c>
    </row>
    <row r="74" spans="1:3" x14ac:dyDescent="0.25">
      <c r="A74" t="s">
        <v>6</v>
      </c>
      <c r="B74" t="s">
        <v>236</v>
      </c>
      <c r="C74" s="2">
        <v>66318761.079999998</v>
      </c>
    </row>
    <row r="75" spans="1:3" x14ac:dyDescent="0.25">
      <c r="A75" t="s">
        <v>6</v>
      </c>
      <c r="B75" t="s">
        <v>237</v>
      </c>
      <c r="C75" s="2">
        <v>12311755.109999999</v>
      </c>
    </row>
    <row r="76" spans="1:3" x14ac:dyDescent="0.25">
      <c r="A76" t="s">
        <v>6</v>
      </c>
      <c r="B76" t="s">
        <v>238</v>
      </c>
      <c r="C76" s="2">
        <v>933576.28</v>
      </c>
    </row>
    <row r="77" spans="1:3" x14ac:dyDescent="0.25">
      <c r="A77" t="s">
        <v>6</v>
      </c>
      <c r="B77" t="s">
        <v>306</v>
      </c>
      <c r="C77" s="2">
        <v>888113.89</v>
      </c>
    </row>
    <row r="78" spans="1:3" x14ac:dyDescent="0.25">
      <c r="A78" t="s">
        <v>6</v>
      </c>
      <c r="B78" t="s">
        <v>307</v>
      </c>
      <c r="C78" s="2">
        <v>45462.39</v>
      </c>
    </row>
    <row r="79" spans="1:3" x14ac:dyDescent="0.25">
      <c r="A79" t="s">
        <v>6</v>
      </c>
      <c r="B79" t="s">
        <v>239</v>
      </c>
      <c r="C79" s="2">
        <v>11378178.83</v>
      </c>
    </row>
    <row r="80" spans="1:3" x14ac:dyDescent="0.25">
      <c r="A80" t="s">
        <v>6</v>
      </c>
      <c r="B80" t="s">
        <v>240</v>
      </c>
      <c r="C80" s="2">
        <v>5123.3100000000004</v>
      </c>
    </row>
    <row r="81" spans="1:3" x14ac:dyDescent="0.25">
      <c r="A81" t="s">
        <v>6</v>
      </c>
      <c r="B81" t="s">
        <v>308</v>
      </c>
      <c r="C81" s="2">
        <v>269.68</v>
      </c>
    </row>
    <row r="82" spans="1:3" x14ac:dyDescent="0.25">
      <c r="A82" t="s">
        <v>6</v>
      </c>
      <c r="B82" t="s">
        <v>309</v>
      </c>
      <c r="C82" s="2">
        <v>4853.63</v>
      </c>
    </row>
    <row r="83" spans="1:3" x14ac:dyDescent="0.25">
      <c r="A83" t="s">
        <v>6</v>
      </c>
      <c r="B83" t="s">
        <v>241</v>
      </c>
      <c r="C83" s="2">
        <v>11373055.52</v>
      </c>
    </row>
    <row r="84" spans="1:3" x14ac:dyDescent="0.25">
      <c r="A84" t="s">
        <v>6</v>
      </c>
      <c r="B84" t="s">
        <v>310</v>
      </c>
      <c r="C84" s="2">
        <v>10440738.77</v>
      </c>
    </row>
    <row r="85" spans="1:3" x14ac:dyDescent="0.25">
      <c r="A85" t="s">
        <v>6</v>
      </c>
      <c r="B85" t="s">
        <v>242</v>
      </c>
      <c r="C85" s="2">
        <v>932316.75</v>
      </c>
    </row>
    <row r="86" spans="1:3" x14ac:dyDescent="0.25">
      <c r="A86" t="s">
        <v>6</v>
      </c>
      <c r="B86" t="s">
        <v>246</v>
      </c>
      <c r="C86" s="2">
        <v>45385513.649999999</v>
      </c>
    </row>
    <row r="87" spans="1:3" x14ac:dyDescent="0.25">
      <c r="A87" t="s">
        <v>6</v>
      </c>
      <c r="B87" t="s">
        <v>247</v>
      </c>
      <c r="C87" s="2">
        <v>41792353.539999999</v>
      </c>
    </row>
    <row r="88" spans="1:3" x14ac:dyDescent="0.25">
      <c r="A88" t="s">
        <v>6</v>
      </c>
      <c r="B88" t="s">
        <v>248</v>
      </c>
      <c r="C88" s="2">
        <v>41792353.539999999</v>
      </c>
    </row>
    <row r="89" spans="1:3" x14ac:dyDescent="0.25">
      <c r="A89" t="s">
        <v>6</v>
      </c>
      <c r="B89" t="s">
        <v>283</v>
      </c>
      <c r="C89" s="2">
        <v>41792353.539999999</v>
      </c>
    </row>
    <row r="90" spans="1:3" x14ac:dyDescent="0.25">
      <c r="A90" t="s">
        <v>6</v>
      </c>
      <c r="B90" t="s">
        <v>253</v>
      </c>
      <c r="C90" s="2">
        <v>3593160.11</v>
      </c>
    </row>
    <row r="91" spans="1:3" x14ac:dyDescent="0.25">
      <c r="A91" t="s">
        <v>6</v>
      </c>
      <c r="B91" t="s">
        <v>254</v>
      </c>
      <c r="C91" s="2">
        <v>3593160.11</v>
      </c>
    </row>
    <row r="92" spans="1:3" x14ac:dyDescent="0.25">
      <c r="A92" t="s">
        <v>6</v>
      </c>
      <c r="B92" t="s">
        <v>255</v>
      </c>
      <c r="C92" s="2">
        <v>3593160.11</v>
      </c>
    </row>
    <row r="93" spans="1:3" x14ac:dyDescent="0.25">
      <c r="A93" t="s">
        <v>6</v>
      </c>
      <c r="B93" t="s">
        <v>311</v>
      </c>
      <c r="C93" s="2">
        <v>1022880</v>
      </c>
    </row>
    <row r="94" spans="1:3" x14ac:dyDescent="0.25">
      <c r="A94" t="s">
        <v>6</v>
      </c>
      <c r="B94" t="s">
        <v>312</v>
      </c>
      <c r="C94" s="2">
        <v>332880</v>
      </c>
    </row>
    <row r="95" spans="1:3" x14ac:dyDescent="0.25">
      <c r="A95" t="s">
        <v>6</v>
      </c>
      <c r="B95" t="s">
        <v>313</v>
      </c>
      <c r="C95" s="2">
        <v>690000</v>
      </c>
    </row>
    <row r="96" spans="1:3" x14ac:dyDescent="0.25">
      <c r="A96" t="s">
        <v>6</v>
      </c>
      <c r="B96" t="s">
        <v>258</v>
      </c>
      <c r="C96" s="2">
        <v>2570280.11</v>
      </c>
    </row>
    <row r="97" spans="1:3" x14ac:dyDescent="0.25">
      <c r="A97" t="s">
        <v>6</v>
      </c>
      <c r="B97" t="s">
        <v>314</v>
      </c>
      <c r="C97" s="2">
        <v>433250</v>
      </c>
    </row>
    <row r="98" spans="1:3" x14ac:dyDescent="0.25">
      <c r="A98" t="s">
        <v>6</v>
      </c>
      <c r="B98" t="s">
        <v>315</v>
      </c>
      <c r="C98" s="2">
        <v>1917970.25</v>
      </c>
    </row>
    <row r="99" spans="1:3" x14ac:dyDescent="0.25">
      <c r="A99" t="s">
        <v>6</v>
      </c>
      <c r="B99" t="s">
        <v>316</v>
      </c>
      <c r="C99" s="2">
        <v>200000</v>
      </c>
    </row>
    <row r="100" spans="1:3" x14ac:dyDescent="0.25">
      <c r="A100" t="s">
        <v>6</v>
      </c>
      <c r="B100" t="s">
        <v>317</v>
      </c>
      <c r="C100" s="2">
        <v>19059.86</v>
      </c>
    </row>
    <row r="101" spans="1:3" x14ac:dyDescent="0.25">
      <c r="A101" t="s">
        <v>6</v>
      </c>
      <c r="B101" t="s">
        <v>318</v>
      </c>
      <c r="C101" s="2">
        <v>542987628.37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6.5703125" customWidth="1"/>
    <col min="2" max="2" width="102.5703125" customWidth="1"/>
    <col min="3" max="3" width="19.5703125" bestFit="1" customWidth="1"/>
    <col min="4" max="4" width="13" customWidth="1"/>
    <col min="5" max="5" width="17.42578125" bestFit="1" customWidth="1"/>
    <col min="6" max="6" width="19.5703125" bestFit="1" customWidth="1"/>
    <col min="7" max="7" width="16.85546875" bestFit="1" customWidth="1"/>
    <col min="8" max="10" width="13" customWidth="1"/>
  </cols>
  <sheetData>
    <row r="1" spans="1:6" x14ac:dyDescent="0.25">
      <c r="A1" t="s">
        <v>289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85</v>
      </c>
      <c r="B5" t="s">
        <v>290</v>
      </c>
      <c r="C5" s="2">
        <v>1413433463.4100001</v>
      </c>
      <c r="E5" s="2" t="s">
        <v>7</v>
      </c>
      <c r="F5" s="2">
        <f>C5</f>
        <v>1413433463.4100001</v>
      </c>
    </row>
    <row r="6" spans="1:6" x14ac:dyDescent="0.25">
      <c r="A6" t="s">
        <v>85</v>
      </c>
      <c r="B6" t="s">
        <v>174</v>
      </c>
      <c r="C6" s="2">
        <v>1348873886.3599999</v>
      </c>
      <c r="E6" s="2" t="s">
        <v>9</v>
      </c>
      <c r="F6" s="2">
        <f>C7</f>
        <v>370739089.64999998</v>
      </c>
    </row>
    <row r="7" spans="1:6" x14ac:dyDescent="0.25">
      <c r="A7" t="s">
        <v>85</v>
      </c>
      <c r="B7" t="s">
        <v>175</v>
      </c>
      <c r="C7" s="2">
        <v>370739089.64999998</v>
      </c>
      <c r="E7" s="2" t="s">
        <v>11</v>
      </c>
      <c r="F7" s="2">
        <f>C15</f>
        <v>129778891.53</v>
      </c>
    </row>
    <row r="8" spans="1:6" x14ac:dyDescent="0.25">
      <c r="A8" t="s">
        <v>85</v>
      </c>
      <c r="B8" t="s">
        <v>176</v>
      </c>
      <c r="C8" s="2">
        <v>336112595.75</v>
      </c>
      <c r="E8" s="2" t="s">
        <v>13</v>
      </c>
      <c r="F8" s="2">
        <f>C16</f>
        <v>28065796.800000001</v>
      </c>
    </row>
    <row r="9" spans="1:6" x14ac:dyDescent="0.25">
      <c r="A9" t="s">
        <v>85</v>
      </c>
      <c r="B9" t="s">
        <v>177</v>
      </c>
      <c r="C9" s="2">
        <v>45196154.850000001</v>
      </c>
      <c r="E9" s="2" t="s">
        <v>15</v>
      </c>
      <c r="F9" s="2">
        <f>C18</f>
        <v>133071752.56999999</v>
      </c>
    </row>
    <row r="10" spans="1:6" x14ac:dyDescent="0.25">
      <c r="A10" t="s">
        <v>85</v>
      </c>
      <c r="B10" t="s">
        <v>178</v>
      </c>
      <c r="C10" s="2">
        <v>45196154.850000001</v>
      </c>
      <c r="E10" s="2" t="s">
        <v>121</v>
      </c>
      <c r="F10" s="2">
        <f>C49</f>
        <v>841763715.60000002</v>
      </c>
    </row>
    <row r="11" spans="1:6" x14ac:dyDescent="0.25">
      <c r="A11" t="s">
        <v>85</v>
      </c>
      <c r="B11" t="s">
        <v>179</v>
      </c>
      <c r="C11" s="2">
        <v>41785920</v>
      </c>
      <c r="E11" s="2" t="s">
        <v>19</v>
      </c>
      <c r="F11" s="2">
        <f>C53</f>
        <v>95204746.969999999</v>
      </c>
    </row>
    <row r="12" spans="1:6" x14ac:dyDescent="0.25">
      <c r="A12" t="s">
        <v>85</v>
      </c>
      <c r="B12" t="s">
        <v>180</v>
      </c>
      <c r="C12" s="2">
        <v>3410234.85</v>
      </c>
      <c r="E12" s="2" t="s">
        <v>21</v>
      </c>
      <c r="F12" s="2">
        <f>C80</f>
        <v>514874470.92000002</v>
      </c>
    </row>
    <row r="13" spans="1:6" x14ac:dyDescent="0.25">
      <c r="A13" t="s">
        <v>85</v>
      </c>
      <c r="B13" t="s">
        <v>181</v>
      </c>
      <c r="C13" s="2">
        <v>290916440.89999998</v>
      </c>
      <c r="E13" s="2" t="s">
        <v>23</v>
      </c>
      <c r="F13" s="2">
        <f>SUM(C72,C92)</f>
        <v>126637118.48</v>
      </c>
    </row>
    <row r="14" spans="1:6" x14ac:dyDescent="0.25">
      <c r="A14" t="s">
        <v>85</v>
      </c>
      <c r="B14" t="s">
        <v>182</v>
      </c>
      <c r="C14" s="2">
        <v>157844688.33000001</v>
      </c>
      <c r="E14" s="2" t="s">
        <v>25</v>
      </c>
      <c r="F14" s="2">
        <f>C108</f>
        <v>64559577.049999997</v>
      </c>
    </row>
    <row r="15" spans="1:6" x14ac:dyDescent="0.25">
      <c r="A15" t="s">
        <v>85</v>
      </c>
      <c r="B15" t="s">
        <v>183</v>
      </c>
      <c r="C15" s="2">
        <v>129778891.53</v>
      </c>
    </row>
    <row r="16" spans="1:6" x14ac:dyDescent="0.25">
      <c r="A16" t="s">
        <v>85</v>
      </c>
      <c r="B16" t="s">
        <v>184</v>
      </c>
      <c r="C16" s="2">
        <v>28065796.800000001</v>
      </c>
    </row>
    <row r="17" spans="1:3" x14ac:dyDescent="0.25">
      <c r="A17" t="s">
        <v>85</v>
      </c>
      <c r="B17" t="s">
        <v>185</v>
      </c>
      <c r="C17" s="2">
        <v>133071752.56999999</v>
      </c>
    </row>
    <row r="18" spans="1:3" x14ac:dyDescent="0.25">
      <c r="A18" t="s">
        <v>85</v>
      </c>
      <c r="B18" t="s">
        <v>186</v>
      </c>
      <c r="C18" s="2">
        <v>133071752.56999999</v>
      </c>
    </row>
    <row r="19" spans="1:3" x14ac:dyDescent="0.25">
      <c r="A19" t="s">
        <v>85</v>
      </c>
      <c r="B19" t="s">
        <v>187</v>
      </c>
      <c r="C19" s="2">
        <v>34626493.899999999</v>
      </c>
    </row>
    <row r="20" spans="1:3" x14ac:dyDescent="0.25">
      <c r="A20" t="s">
        <v>85</v>
      </c>
      <c r="B20" t="s">
        <v>190</v>
      </c>
      <c r="C20" s="2">
        <v>20229673.489999998</v>
      </c>
    </row>
    <row r="21" spans="1:3" x14ac:dyDescent="0.25">
      <c r="A21" t="s">
        <v>85</v>
      </c>
      <c r="B21" t="s">
        <v>191</v>
      </c>
      <c r="C21" s="2">
        <v>20229673.489999998</v>
      </c>
    </row>
    <row r="22" spans="1:3" x14ac:dyDescent="0.25">
      <c r="A22" t="s">
        <v>85</v>
      </c>
      <c r="B22" t="s">
        <v>292</v>
      </c>
      <c r="C22" s="2">
        <v>14396820.41</v>
      </c>
    </row>
    <row r="23" spans="1:3" x14ac:dyDescent="0.25">
      <c r="A23" t="s">
        <v>85</v>
      </c>
      <c r="B23" t="s">
        <v>293</v>
      </c>
      <c r="C23" s="2">
        <v>14396820.41</v>
      </c>
    </row>
    <row r="24" spans="1:3" x14ac:dyDescent="0.25">
      <c r="A24" t="s">
        <v>85</v>
      </c>
      <c r="B24" t="s">
        <v>319</v>
      </c>
      <c r="C24" s="2">
        <v>198837.39</v>
      </c>
    </row>
    <row r="25" spans="1:3" x14ac:dyDescent="0.25">
      <c r="A25" t="s">
        <v>85</v>
      </c>
      <c r="B25" t="s">
        <v>294</v>
      </c>
      <c r="C25" s="2">
        <v>14197983.02</v>
      </c>
    </row>
    <row r="26" spans="1:3" x14ac:dyDescent="0.25">
      <c r="A26" t="s">
        <v>85</v>
      </c>
      <c r="B26" t="s">
        <v>192</v>
      </c>
      <c r="C26" s="2">
        <v>56018390.590000004</v>
      </c>
    </row>
    <row r="27" spans="1:3" x14ac:dyDescent="0.25">
      <c r="A27" t="s">
        <v>85</v>
      </c>
      <c r="B27" t="s">
        <v>259</v>
      </c>
      <c r="C27" s="2">
        <v>34035881.18</v>
      </c>
    </row>
    <row r="28" spans="1:3" x14ac:dyDescent="0.25">
      <c r="A28" t="s">
        <v>85</v>
      </c>
      <c r="B28" t="s">
        <v>320</v>
      </c>
      <c r="C28" s="2">
        <v>34035881.18</v>
      </c>
    </row>
    <row r="29" spans="1:3" x14ac:dyDescent="0.25">
      <c r="A29" t="s">
        <v>85</v>
      </c>
      <c r="B29" t="s">
        <v>321</v>
      </c>
      <c r="C29" s="2">
        <v>33760887.229999997</v>
      </c>
    </row>
    <row r="30" spans="1:3" x14ac:dyDescent="0.25">
      <c r="A30" t="s">
        <v>85</v>
      </c>
      <c r="B30" t="s">
        <v>322</v>
      </c>
      <c r="C30" s="2">
        <v>32011937.789999999</v>
      </c>
    </row>
    <row r="31" spans="1:3" x14ac:dyDescent="0.25">
      <c r="A31" t="s">
        <v>85</v>
      </c>
      <c r="B31" t="s">
        <v>323</v>
      </c>
      <c r="C31" s="2">
        <v>1518286.87</v>
      </c>
    </row>
    <row r="32" spans="1:3" x14ac:dyDescent="0.25">
      <c r="A32" t="s">
        <v>85</v>
      </c>
      <c r="B32" t="s">
        <v>324</v>
      </c>
      <c r="C32" s="2">
        <v>61144.93</v>
      </c>
    </row>
    <row r="33" spans="1:3" x14ac:dyDescent="0.25">
      <c r="A33" t="s">
        <v>85</v>
      </c>
      <c r="B33" t="s">
        <v>325</v>
      </c>
      <c r="C33" s="2">
        <v>169517.64</v>
      </c>
    </row>
    <row r="34" spans="1:3" x14ac:dyDescent="0.25">
      <c r="A34" t="s">
        <v>85</v>
      </c>
      <c r="B34" t="s">
        <v>326</v>
      </c>
      <c r="C34" s="2">
        <v>274993.95</v>
      </c>
    </row>
    <row r="35" spans="1:3" x14ac:dyDescent="0.25">
      <c r="A35" t="s">
        <v>85</v>
      </c>
      <c r="B35" t="s">
        <v>327</v>
      </c>
      <c r="C35" s="2">
        <v>274993.95</v>
      </c>
    </row>
    <row r="36" spans="1:3" x14ac:dyDescent="0.25">
      <c r="A36" t="s">
        <v>85</v>
      </c>
      <c r="B36" t="s">
        <v>193</v>
      </c>
      <c r="C36" s="2">
        <v>21982509.41</v>
      </c>
    </row>
    <row r="37" spans="1:3" x14ac:dyDescent="0.25">
      <c r="A37" t="s">
        <v>85</v>
      </c>
      <c r="B37" t="s">
        <v>194</v>
      </c>
      <c r="C37" s="2">
        <v>53780813.469999999</v>
      </c>
    </row>
    <row r="38" spans="1:3" x14ac:dyDescent="0.25">
      <c r="A38" t="s">
        <v>85</v>
      </c>
      <c r="B38" t="s">
        <v>195</v>
      </c>
      <c r="C38" s="2">
        <v>53780813.469999999</v>
      </c>
    </row>
    <row r="39" spans="1:3" x14ac:dyDescent="0.25">
      <c r="A39" t="s">
        <v>85</v>
      </c>
      <c r="B39" t="s">
        <v>196</v>
      </c>
      <c r="C39" s="2">
        <v>53761697.439999998</v>
      </c>
    </row>
    <row r="40" spans="1:3" x14ac:dyDescent="0.25">
      <c r="A40" t="s">
        <v>85</v>
      </c>
      <c r="B40" t="s">
        <v>197</v>
      </c>
      <c r="C40" s="2">
        <v>5453697.6500000004</v>
      </c>
    </row>
    <row r="41" spans="1:3" x14ac:dyDescent="0.25">
      <c r="A41" t="s">
        <v>85</v>
      </c>
      <c r="B41" t="s">
        <v>266</v>
      </c>
      <c r="C41" s="2">
        <v>48307999.789999999</v>
      </c>
    </row>
    <row r="42" spans="1:3" x14ac:dyDescent="0.25">
      <c r="A42" t="s">
        <v>85</v>
      </c>
      <c r="B42" t="s">
        <v>267</v>
      </c>
      <c r="C42" s="2">
        <v>19116.03</v>
      </c>
    </row>
    <row r="43" spans="1:3" x14ac:dyDescent="0.25">
      <c r="A43" t="s">
        <v>85</v>
      </c>
      <c r="B43" t="s">
        <v>268</v>
      </c>
      <c r="C43" s="2">
        <v>8987222.4800000004</v>
      </c>
    </row>
    <row r="44" spans="1:3" x14ac:dyDescent="0.25">
      <c r="A44" t="s">
        <v>85</v>
      </c>
      <c r="B44" t="s">
        <v>269</v>
      </c>
      <c r="C44" s="2">
        <v>5274112.32</v>
      </c>
    </row>
    <row r="45" spans="1:3" x14ac:dyDescent="0.25">
      <c r="A45" t="s">
        <v>85</v>
      </c>
      <c r="B45" t="s">
        <v>270</v>
      </c>
      <c r="C45" s="2">
        <v>5051072.32</v>
      </c>
    </row>
    <row r="46" spans="1:3" x14ac:dyDescent="0.25">
      <c r="A46" t="s">
        <v>85</v>
      </c>
      <c r="B46" t="s">
        <v>328</v>
      </c>
      <c r="C46" s="2">
        <v>223040</v>
      </c>
    </row>
    <row r="47" spans="1:3" x14ac:dyDescent="0.25">
      <c r="A47" t="s">
        <v>85</v>
      </c>
      <c r="B47" t="s">
        <v>271</v>
      </c>
      <c r="C47" s="2">
        <v>3713110.16</v>
      </c>
    </row>
    <row r="48" spans="1:3" x14ac:dyDescent="0.25">
      <c r="A48" t="s">
        <v>85</v>
      </c>
      <c r="B48" t="s">
        <v>272</v>
      </c>
      <c r="C48" s="2">
        <v>3713110.16</v>
      </c>
    </row>
    <row r="49" spans="1:7" x14ac:dyDescent="0.25">
      <c r="A49" t="s">
        <v>85</v>
      </c>
      <c r="B49" t="s">
        <v>200</v>
      </c>
      <c r="C49" s="2">
        <v>841763715.60000002</v>
      </c>
    </row>
    <row r="50" spans="1:7" x14ac:dyDescent="0.25">
      <c r="A50" t="s">
        <v>85</v>
      </c>
      <c r="B50" t="s">
        <v>201</v>
      </c>
      <c r="C50" s="2">
        <v>204071268.84</v>
      </c>
    </row>
    <row r="51" spans="1:7" x14ac:dyDescent="0.25">
      <c r="A51" t="s">
        <v>85</v>
      </c>
      <c r="B51" t="s">
        <v>202</v>
      </c>
      <c r="C51" s="2">
        <v>204071268.84</v>
      </c>
    </row>
    <row r="52" spans="1:7" x14ac:dyDescent="0.25">
      <c r="A52" t="s">
        <v>85</v>
      </c>
      <c r="B52" t="s">
        <v>203</v>
      </c>
      <c r="C52" s="2">
        <v>103512874.52</v>
      </c>
    </row>
    <row r="53" spans="1:7" x14ac:dyDescent="0.25">
      <c r="A53" t="s">
        <v>85</v>
      </c>
      <c r="B53" t="s">
        <v>204</v>
      </c>
      <c r="C53" s="2">
        <v>95204746.969999999</v>
      </c>
    </row>
    <row r="54" spans="1:7" x14ac:dyDescent="0.25">
      <c r="A54" t="s">
        <v>85</v>
      </c>
      <c r="B54" t="s">
        <v>205</v>
      </c>
      <c r="C54" s="2">
        <v>4200239.13</v>
      </c>
    </row>
    <row r="55" spans="1:7" x14ac:dyDescent="0.25">
      <c r="A55" t="s">
        <v>85</v>
      </c>
      <c r="B55" t="s">
        <v>206</v>
      </c>
      <c r="C55" s="2">
        <v>4047000.16</v>
      </c>
    </row>
    <row r="56" spans="1:7" x14ac:dyDescent="0.25">
      <c r="A56" t="s">
        <v>85</v>
      </c>
      <c r="B56" t="s">
        <v>207</v>
      </c>
      <c r="C56" s="2">
        <v>60888.26</v>
      </c>
    </row>
    <row r="57" spans="1:7" x14ac:dyDescent="0.25">
      <c r="A57" t="s">
        <v>85</v>
      </c>
      <c r="B57" t="s">
        <v>208</v>
      </c>
      <c r="C57" s="2">
        <v>4607650.42</v>
      </c>
    </row>
    <row r="58" spans="1:7" x14ac:dyDescent="0.25">
      <c r="A58" t="s">
        <v>85</v>
      </c>
      <c r="B58" t="s">
        <v>209</v>
      </c>
      <c r="C58" s="2">
        <v>50600.3</v>
      </c>
    </row>
    <row r="59" spans="1:7" x14ac:dyDescent="0.25">
      <c r="A59" t="s">
        <v>85</v>
      </c>
      <c r="B59" t="s">
        <v>329</v>
      </c>
      <c r="C59" s="2">
        <v>995383.62</v>
      </c>
    </row>
    <row r="60" spans="1:7" x14ac:dyDescent="0.25">
      <c r="A60" t="s">
        <v>85</v>
      </c>
      <c r="B60" t="s">
        <v>273</v>
      </c>
      <c r="C60" s="2">
        <v>2094519.46</v>
      </c>
    </row>
    <row r="61" spans="1:7" x14ac:dyDescent="0.25">
      <c r="A61" t="s">
        <v>85</v>
      </c>
      <c r="B61" t="s">
        <v>210</v>
      </c>
      <c r="C61" s="2">
        <v>1467147.04</v>
      </c>
    </row>
    <row r="62" spans="1:7" x14ac:dyDescent="0.25">
      <c r="A62" t="s">
        <v>85</v>
      </c>
      <c r="B62" t="s">
        <v>297</v>
      </c>
      <c r="C62" s="2">
        <v>47046359.810000002</v>
      </c>
    </row>
    <row r="63" spans="1:7" x14ac:dyDescent="0.25">
      <c r="A63" t="s">
        <v>85</v>
      </c>
      <c r="B63" t="s">
        <v>298</v>
      </c>
      <c r="C63" s="2">
        <v>18185268</v>
      </c>
    </row>
    <row r="64" spans="1:7" x14ac:dyDescent="0.25">
      <c r="A64" t="s">
        <v>85</v>
      </c>
      <c r="B64" t="s">
        <v>299</v>
      </c>
      <c r="C64" s="2">
        <v>23327908.719999999</v>
      </c>
      <c r="G64" s="1"/>
    </row>
    <row r="65" spans="1:7" x14ac:dyDescent="0.25">
      <c r="A65" t="s">
        <v>85</v>
      </c>
      <c r="B65" t="s">
        <v>300</v>
      </c>
      <c r="C65" s="2">
        <v>3860904.96</v>
      </c>
      <c r="G65" s="1"/>
    </row>
    <row r="66" spans="1:7" x14ac:dyDescent="0.25">
      <c r="A66" t="s">
        <v>85</v>
      </c>
      <c r="B66" t="s">
        <v>301</v>
      </c>
      <c r="C66" s="2">
        <v>1642278.13</v>
      </c>
    </row>
    <row r="67" spans="1:7" x14ac:dyDescent="0.25">
      <c r="A67" t="s">
        <v>85</v>
      </c>
      <c r="B67" t="s">
        <v>302</v>
      </c>
      <c r="C67" s="2">
        <v>30000</v>
      </c>
    </row>
    <row r="68" spans="1:7" x14ac:dyDescent="0.25">
      <c r="A68" t="s">
        <v>85</v>
      </c>
      <c r="B68" t="s">
        <v>213</v>
      </c>
      <c r="C68" s="2">
        <v>8448872.5800000001</v>
      </c>
    </row>
    <row r="69" spans="1:7" x14ac:dyDescent="0.25">
      <c r="A69" t="s">
        <v>85</v>
      </c>
      <c r="B69" t="s">
        <v>214</v>
      </c>
      <c r="C69" s="2">
        <v>4868084.7</v>
      </c>
    </row>
    <row r="70" spans="1:7" x14ac:dyDescent="0.25">
      <c r="A70" t="s">
        <v>85</v>
      </c>
      <c r="B70" t="s">
        <v>216</v>
      </c>
      <c r="C70" s="2">
        <v>3408464</v>
      </c>
    </row>
    <row r="71" spans="1:7" x14ac:dyDescent="0.25">
      <c r="A71" t="s">
        <v>85</v>
      </c>
      <c r="B71" t="s">
        <v>217</v>
      </c>
      <c r="C71" s="2">
        <v>172323.88</v>
      </c>
    </row>
    <row r="72" spans="1:7" x14ac:dyDescent="0.25">
      <c r="A72" t="s">
        <v>85</v>
      </c>
      <c r="B72" t="s">
        <v>303</v>
      </c>
      <c r="C72" s="2">
        <v>31256227.050000001</v>
      </c>
    </row>
    <row r="73" spans="1:7" x14ac:dyDescent="0.25">
      <c r="A73" t="s">
        <v>85</v>
      </c>
      <c r="B73" t="s">
        <v>221</v>
      </c>
      <c r="C73" s="2">
        <v>1810261.99</v>
      </c>
    </row>
    <row r="74" spans="1:7" x14ac:dyDescent="0.25">
      <c r="A74" t="s">
        <v>85</v>
      </c>
      <c r="B74" t="s">
        <v>274</v>
      </c>
      <c r="C74" s="2">
        <v>1810261.99</v>
      </c>
    </row>
    <row r="75" spans="1:7" x14ac:dyDescent="0.25">
      <c r="A75" t="s">
        <v>85</v>
      </c>
      <c r="B75" t="s">
        <v>304</v>
      </c>
      <c r="C75" s="2">
        <v>2025343.2</v>
      </c>
    </row>
    <row r="76" spans="1:7" x14ac:dyDescent="0.25">
      <c r="A76" t="s">
        <v>85</v>
      </c>
      <c r="B76" t="s">
        <v>275</v>
      </c>
      <c r="C76" s="2">
        <v>5363679.2699999996</v>
      </c>
    </row>
    <row r="77" spans="1:7" x14ac:dyDescent="0.25">
      <c r="A77" t="s">
        <v>85</v>
      </c>
      <c r="B77" t="s">
        <v>223</v>
      </c>
      <c r="C77" s="2">
        <v>542111553.33000004</v>
      </c>
    </row>
    <row r="78" spans="1:7" x14ac:dyDescent="0.25">
      <c r="A78" t="s">
        <v>85</v>
      </c>
      <c r="B78" t="s">
        <v>224</v>
      </c>
      <c r="C78" s="2">
        <v>542111553.33000004</v>
      </c>
    </row>
    <row r="79" spans="1:7" x14ac:dyDescent="0.25">
      <c r="A79" t="s">
        <v>85</v>
      </c>
      <c r="B79" t="s">
        <v>225</v>
      </c>
      <c r="C79" s="2">
        <v>539600206.69000006</v>
      </c>
    </row>
    <row r="80" spans="1:7" x14ac:dyDescent="0.25">
      <c r="A80" t="s">
        <v>85</v>
      </c>
      <c r="B80" t="s">
        <v>226</v>
      </c>
      <c r="C80" s="2">
        <v>514874470.92000002</v>
      </c>
    </row>
    <row r="81" spans="1:3" x14ac:dyDescent="0.25">
      <c r="A81" t="s">
        <v>85</v>
      </c>
      <c r="B81" t="s">
        <v>227</v>
      </c>
      <c r="C81" s="2">
        <v>19300972.66</v>
      </c>
    </row>
    <row r="82" spans="1:3" x14ac:dyDescent="0.25">
      <c r="A82" t="s">
        <v>85</v>
      </c>
      <c r="B82" t="s">
        <v>228</v>
      </c>
      <c r="C82" s="2">
        <v>5044074.58</v>
      </c>
    </row>
    <row r="83" spans="1:3" x14ac:dyDescent="0.25">
      <c r="A83" t="s">
        <v>85</v>
      </c>
      <c r="B83" t="s">
        <v>229</v>
      </c>
      <c r="C83" s="2">
        <v>192435.24</v>
      </c>
    </row>
    <row r="84" spans="1:3" x14ac:dyDescent="0.25">
      <c r="A84" t="s">
        <v>85</v>
      </c>
      <c r="B84" t="s">
        <v>276</v>
      </c>
      <c r="C84" s="2">
        <v>188253.29</v>
      </c>
    </row>
    <row r="85" spans="1:3" x14ac:dyDescent="0.25">
      <c r="A85" t="s">
        <v>85</v>
      </c>
      <c r="B85" t="s">
        <v>230</v>
      </c>
      <c r="C85" s="2">
        <v>2481287.5</v>
      </c>
    </row>
    <row r="86" spans="1:3" x14ac:dyDescent="0.25">
      <c r="A86" t="s">
        <v>85</v>
      </c>
      <c r="B86" t="s">
        <v>277</v>
      </c>
      <c r="C86" s="2">
        <v>30059.14</v>
      </c>
    </row>
    <row r="87" spans="1:3" x14ac:dyDescent="0.25">
      <c r="A87" t="s">
        <v>85</v>
      </c>
      <c r="B87" t="s">
        <v>278</v>
      </c>
      <c r="C87" s="2">
        <v>30059.14</v>
      </c>
    </row>
    <row r="88" spans="1:3" x14ac:dyDescent="0.25">
      <c r="A88" t="s">
        <v>85</v>
      </c>
      <c r="B88" t="s">
        <v>232</v>
      </c>
      <c r="C88" s="2">
        <v>200002</v>
      </c>
    </row>
    <row r="89" spans="1:3" x14ac:dyDescent="0.25">
      <c r="A89" t="s">
        <v>85</v>
      </c>
      <c r="B89" t="s">
        <v>305</v>
      </c>
      <c r="C89" s="2">
        <v>200002</v>
      </c>
    </row>
    <row r="90" spans="1:3" x14ac:dyDescent="0.25">
      <c r="A90" t="s">
        <v>85</v>
      </c>
      <c r="B90" t="s">
        <v>234</v>
      </c>
      <c r="C90" s="2">
        <v>95380891.430000007</v>
      </c>
    </row>
    <row r="91" spans="1:3" x14ac:dyDescent="0.25">
      <c r="A91" t="s">
        <v>85</v>
      </c>
      <c r="B91" t="s">
        <v>235</v>
      </c>
      <c r="C91" s="2">
        <v>95380891.430000007</v>
      </c>
    </row>
    <row r="92" spans="1:3" x14ac:dyDescent="0.25">
      <c r="A92" t="s">
        <v>85</v>
      </c>
      <c r="B92" t="s">
        <v>236</v>
      </c>
      <c r="C92" s="2">
        <v>95380891.430000007</v>
      </c>
    </row>
    <row r="93" spans="1:3" x14ac:dyDescent="0.25">
      <c r="A93" t="s">
        <v>85</v>
      </c>
      <c r="B93" t="s">
        <v>237</v>
      </c>
      <c r="C93" s="2">
        <v>17584654.57</v>
      </c>
    </row>
    <row r="94" spans="1:3" x14ac:dyDescent="0.25">
      <c r="A94" t="s">
        <v>85</v>
      </c>
      <c r="B94" t="s">
        <v>238</v>
      </c>
      <c r="C94" s="2">
        <v>3835411.57</v>
      </c>
    </row>
    <row r="95" spans="1:3" x14ac:dyDescent="0.25">
      <c r="A95" t="s">
        <v>85</v>
      </c>
      <c r="B95" t="s">
        <v>306</v>
      </c>
      <c r="C95" s="2">
        <v>3806289.26</v>
      </c>
    </row>
    <row r="96" spans="1:3" x14ac:dyDescent="0.25">
      <c r="A96" t="s">
        <v>85</v>
      </c>
      <c r="B96" t="s">
        <v>307</v>
      </c>
      <c r="C96" s="2">
        <v>29122.31</v>
      </c>
    </row>
    <row r="97" spans="1:3" x14ac:dyDescent="0.25">
      <c r="A97" t="s">
        <v>85</v>
      </c>
      <c r="B97" t="s">
        <v>239</v>
      </c>
      <c r="C97" s="2">
        <v>1390944.08</v>
      </c>
    </row>
    <row r="98" spans="1:3" x14ac:dyDescent="0.25">
      <c r="A98" t="s">
        <v>85</v>
      </c>
      <c r="B98" t="s">
        <v>241</v>
      </c>
      <c r="C98" s="2">
        <v>1384679.68</v>
      </c>
    </row>
    <row r="99" spans="1:3" x14ac:dyDescent="0.25">
      <c r="A99" t="s">
        <v>85</v>
      </c>
      <c r="B99" t="s">
        <v>280</v>
      </c>
      <c r="C99" s="2">
        <v>150920.49</v>
      </c>
    </row>
    <row r="100" spans="1:3" x14ac:dyDescent="0.25">
      <c r="A100" t="s">
        <v>85</v>
      </c>
      <c r="B100" t="s">
        <v>242</v>
      </c>
      <c r="C100" s="2">
        <v>1233759.19</v>
      </c>
    </row>
    <row r="101" spans="1:3" x14ac:dyDescent="0.25">
      <c r="A101" t="s">
        <v>85</v>
      </c>
      <c r="B101" t="s">
        <v>330</v>
      </c>
      <c r="C101" s="2">
        <v>6264.4</v>
      </c>
    </row>
    <row r="102" spans="1:3" x14ac:dyDescent="0.25">
      <c r="A102" t="s">
        <v>85</v>
      </c>
      <c r="B102" t="s">
        <v>331</v>
      </c>
      <c r="C102" s="2">
        <v>6264.4</v>
      </c>
    </row>
    <row r="103" spans="1:3" x14ac:dyDescent="0.25">
      <c r="A103" t="s">
        <v>85</v>
      </c>
      <c r="B103" t="s">
        <v>243</v>
      </c>
      <c r="C103" s="2">
        <v>12358298.92</v>
      </c>
    </row>
    <row r="104" spans="1:3" x14ac:dyDescent="0.25">
      <c r="A104" t="s">
        <v>85</v>
      </c>
      <c r="B104" t="s">
        <v>281</v>
      </c>
      <c r="C104" s="2">
        <v>11920060.800000001</v>
      </c>
    </row>
    <row r="105" spans="1:3" x14ac:dyDescent="0.25">
      <c r="A105" t="s">
        <v>85</v>
      </c>
      <c r="B105" t="s">
        <v>244</v>
      </c>
      <c r="C105" s="2">
        <v>438238.12</v>
      </c>
    </row>
    <row r="106" spans="1:3" x14ac:dyDescent="0.25">
      <c r="A106" t="s">
        <v>85</v>
      </c>
      <c r="B106" t="s">
        <v>245</v>
      </c>
      <c r="C106" s="2">
        <v>424186.91</v>
      </c>
    </row>
    <row r="107" spans="1:3" x14ac:dyDescent="0.25">
      <c r="A107" t="s">
        <v>85</v>
      </c>
      <c r="B107" t="s">
        <v>332</v>
      </c>
      <c r="C107" s="2">
        <v>14051.21</v>
      </c>
    </row>
    <row r="108" spans="1:3" x14ac:dyDescent="0.25">
      <c r="A108" t="s">
        <v>85</v>
      </c>
      <c r="B108" t="s">
        <v>246</v>
      </c>
      <c r="C108" s="2">
        <v>64559577.049999997</v>
      </c>
    </row>
    <row r="109" spans="1:3" x14ac:dyDescent="0.25">
      <c r="A109" t="s">
        <v>85</v>
      </c>
      <c r="B109" t="s">
        <v>247</v>
      </c>
      <c r="C109" s="2">
        <v>50863374.25</v>
      </c>
    </row>
    <row r="110" spans="1:3" x14ac:dyDescent="0.25">
      <c r="A110" t="s">
        <v>85</v>
      </c>
      <c r="B110" t="s">
        <v>248</v>
      </c>
      <c r="C110" s="2">
        <v>48394419.369999997</v>
      </c>
    </row>
    <row r="111" spans="1:3" x14ac:dyDescent="0.25">
      <c r="A111" t="s">
        <v>85</v>
      </c>
      <c r="B111" t="s">
        <v>283</v>
      </c>
      <c r="C111" s="2">
        <v>48394419.369999997</v>
      </c>
    </row>
    <row r="112" spans="1:3" x14ac:dyDescent="0.25">
      <c r="A112" t="s">
        <v>85</v>
      </c>
      <c r="B112" t="s">
        <v>333</v>
      </c>
      <c r="C112" s="2">
        <v>2468954.88</v>
      </c>
    </row>
    <row r="113" spans="1:3" x14ac:dyDescent="0.25">
      <c r="A113" t="s">
        <v>85</v>
      </c>
      <c r="B113" t="s">
        <v>334</v>
      </c>
      <c r="C113" s="2">
        <v>2468954.88</v>
      </c>
    </row>
    <row r="114" spans="1:3" x14ac:dyDescent="0.25">
      <c r="A114" t="s">
        <v>85</v>
      </c>
      <c r="B114" t="s">
        <v>253</v>
      </c>
      <c r="C114" s="2">
        <v>13696202.800000001</v>
      </c>
    </row>
    <row r="115" spans="1:3" x14ac:dyDescent="0.25">
      <c r="A115" t="s">
        <v>85</v>
      </c>
      <c r="B115" t="s">
        <v>254</v>
      </c>
      <c r="C115" s="2">
        <v>13696202.800000001</v>
      </c>
    </row>
    <row r="116" spans="1:3" x14ac:dyDescent="0.25">
      <c r="A116" t="s">
        <v>85</v>
      </c>
      <c r="B116" t="s">
        <v>255</v>
      </c>
      <c r="C116" s="2">
        <v>13696202.800000001</v>
      </c>
    </row>
    <row r="117" spans="1:3" x14ac:dyDescent="0.25">
      <c r="A117" t="s">
        <v>85</v>
      </c>
      <c r="B117" t="s">
        <v>311</v>
      </c>
      <c r="C117" s="2">
        <v>153500</v>
      </c>
    </row>
    <row r="118" spans="1:3" x14ac:dyDescent="0.25">
      <c r="A118" t="s">
        <v>85</v>
      </c>
      <c r="B118" t="s">
        <v>312</v>
      </c>
      <c r="C118" s="2">
        <v>153500</v>
      </c>
    </row>
    <row r="119" spans="1:3" x14ac:dyDescent="0.25">
      <c r="A119" t="s">
        <v>85</v>
      </c>
      <c r="B119" t="s">
        <v>257</v>
      </c>
      <c r="C119" s="2">
        <v>1852250.06</v>
      </c>
    </row>
    <row r="120" spans="1:3" x14ac:dyDescent="0.25">
      <c r="A120" t="s">
        <v>85</v>
      </c>
      <c r="B120" t="s">
        <v>258</v>
      </c>
      <c r="C120" s="2">
        <v>11690452.74</v>
      </c>
    </row>
    <row r="121" spans="1:3" x14ac:dyDescent="0.25">
      <c r="A121" t="s">
        <v>85</v>
      </c>
      <c r="B121" t="s">
        <v>315</v>
      </c>
      <c r="C121" s="2">
        <v>7338003.6200000001</v>
      </c>
    </row>
    <row r="122" spans="1:3" x14ac:dyDescent="0.25">
      <c r="A122" t="s">
        <v>85</v>
      </c>
      <c r="B122" t="s">
        <v>317</v>
      </c>
      <c r="C122" s="2">
        <v>4352449.12</v>
      </c>
    </row>
    <row r="123" spans="1:3" x14ac:dyDescent="0.25">
      <c r="A123" t="s">
        <v>85</v>
      </c>
      <c r="B123" t="s">
        <v>335</v>
      </c>
      <c r="C123" s="2">
        <v>78179848.760000005</v>
      </c>
    </row>
    <row r="124" spans="1:3" x14ac:dyDescent="0.25">
      <c r="A124" t="s">
        <v>85</v>
      </c>
      <c r="B124" t="s">
        <v>336</v>
      </c>
      <c r="C124" s="2">
        <v>78179848.760000005</v>
      </c>
    </row>
    <row r="125" spans="1:3" x14ac:dyDescent="0.25">
      <c r="A125" t="s">
        <v>85</v>
      </c>
      <c r="B125" t="s">
        <v>337</v>
      </c>
      <c r="C125" s="2">
        <v>78179848.760000005</v>
      </c>
    </row>
    <row r="126" spans="1:3" x14ac:dyDescent="0.25">
      <c r="A126" t="s">
        <v>85</v>
      </c>
      <c r="B126" t="s">
        <v>338</v>
      </c>
      <c r="C126" s="2">
        <v>78179848.760000005</v>
      </c>
    </row>
    <row r="127" spans="1:3" x14ac:dyDescent="0.25">
      <c r="A127" t="s">
        <v>85</v>
      </c>
      <c r="B127" t="s">
        <v>339</v>
      </c>
      <c r="C127" s="2">
        <v>78179848.760000005</v>
      </c>
    </row>
    <row r="128" spans="1:3" x14ac:dyDescent="0.25">
      <c r="A128" t="s">
        <v>85</v>
      </c>
      <c r="B128" t="s">
        <v>340</v>
      </c>
      <c r="C128" s="2">
        <v>78179848.760000005</v>
      </c>
    </row>
    <row r="129" spans="1:3" x14ac:dyDescent="0.25">
      <c r="A129" t="s">
        <v>85</v>
      </c>
      <c r="B129" t="s">
        <v>341</v>
      </c>
      <c r="C129" s="2">
        <v>78179848.760000005</v>
      </c>
    </row>
    <row r="130" spans="1:3" x14ac:dyDescent="0.25">
      <c r="A130" t="s">
        <v>85</v>
      </c>
      <c r="B130" t="s">
        <v>318</v>
      </c>
      <c r="C130" s="2">
        <v>1491613312.1700001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5.5703125" customWidth="1"/>
    <col min="2" max="2" width="101.42578125" customWidth="1"/>
    <col min="3" max="3" width="18" bestFit="1" customWidth="1"/>
    <col min="4" max="4" width="13" customWidth="1"/>
    <col min="5" max="5" width="17.42578125" bestFit="1" customWidth="1"/>
    <col min="6" max="6" width="18" bestFit="1" customWidth="1"/>
    <col min="7" max="7" width="13" customWidth="1"/>
    <col min="8" max="8" width="16.85546875" bestFit="1" customWidth="1"/>
    <col min="9" max="10" width="13" customWidth="1"/>
  </cols>
  <sheetData>
    <row r="1" spans="1:6" x14ac:dyDescent="0.25">
      <c r="A1" t="s">
        <v>342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6</v>
      </c>
      <c r="B5" t="s">
        <v>290</v>
      </c>
      <c r="C5" s="2">
        <v>613212469.86000001</v>
      </c>
      <c r="E5" s="2" t="s">
        <v>7</v>
      </c>
      <c r="F5" s="2">
        <f>C5</f>
        <v>613212469.86000001</v>
      </c>
    </row>
    <row r="6" spans="1:6" x14ac:dyDescent="0.25">
      <c r="A6" t="s">
        <v>6</v>
      </c>
      <c r="B6" t="s">
        <v>174</v>
      </c>
      <c r="C6" s="2">
        <v>530138558.94999999</v>
      </c>
      <c r="E6" s="2" t="s">
        <v>9</v>
      </c>
      <c r="F6" s="2">
        <f>C7</f>
        <v>75503678.269999996</v>
      </c>
    </row>
    <row r="7" spans="1:6" x14ac:dyDescent="0.25">
      <c r="A7" t="s">
        <v>6</v>
      </c>
      <c r="B7" t="s">
        <v>175</v>
      </c>
      <c r="C7" s="2">
        <v>75503678.269999996</v>
      </c>
      <c r="E7" s="2" t="s">
        <v>11</v>
      </c>
      <c r="F7" s="2">
        <f>C15</f>
        <v>9808966.5</v>
      </c>
    </row>
    <row r="8" spans="1:6" x14ac:dyDescent="0.25">
      <c r="A8" t="s">
        <v>6</v>
      </c>
      <c r="B8" t="s">
        <v>176</v>
      </c>
      <c r="C8" s="2">
        <v>69062346.5</v>
      </c>
      <c r="E8" s="2" t="s">
        <v>13</v>
      </c>
      <c r="F8" s="2">
        <f>C16</f>
        <v>7220048.7199999997</v>
      </c>
    </row>
    <row r="9" spans="1:6" x14ac:dyDescent="0.25">
      <c r="A9" t="s">
        <v>6</v>
      </c>
      <c r="B9" t="s">
        <v>177</v>
      </c>
      <c r="C9" s="2">
        <v>19080448.68</v>
      </c>
      <c r="E9" s="2" t="s">
        <v>15</v>
      </c>
      <c r="F9" s="2">
        <f>C18</f>
        <v>32952882.600000001</v>
      </c>
    </row>
    <row r="10" spans="1:6" x14ac:dyDescent="0.25">
      <c r="A10" t="s">
        <v>6</v>
      </c>
      <c r="B10" t="s">
        <v>178</v>
      </c>
      <c r="C10" s="2">
        <v>19080448.68</v>
      </c>
      <c r="E10" s="2" t="s">
        <v>121</v>
      </c>
      <c r="F10" s="2">
        <f>C33</f>
        <v>436608482.24000001</v>
      </c>
    </row>
    <row r="11" spans="1:6" x14ac:dyDescent="0.25">
      <c r="A11" t="s">
        <v>6</v>
      </c>
      <c r="B11" t="s">
        <v>179</v>
      </c>
      <c r="C11" s="2">
        <v>16112809.41</v>
      </c>
      <c r="E11" s="2" t="s">
        <v>19</v>
      </c>
      <c r="F11" s="2">
        <f>C37</f>
        <v>90710927.069999993</v>
      </c>
    </row>
    <row r="12" spans="1:6" x14ac:dyDescent="0.25">
      <c r="A12" t="s">
        <v>6</v>
      </c>
      <c r="B12" t="s">
        <v>180</v>
      </c>
      <c r="C12" s="2">
        <v>2967639.27</v>
      </c>
      <c r="E12" s="2" t="s">
        <v>21</v>
      </c>
      <c r="F12" s="2">
        <f>C64</f>
        <v>88000744.870000005</v>
      </c>
    </row>
    <row r="13" spans="1:6" x14ac:dyDescent="0.25">
      <c r="A13" t="s">
        <v>6</v>
      </c>
      <c r="B13" t="s">
        <v>181</v>
      </c>
      <c r="C13" s="2">
        <v>49981897.82</v>
      </c>
      <c r="E13" s="2" t="s">
        <v>23</v>
      </c>
      <c r="F13" s="2">
        <f>SUM(C55,C76)</f>
        <v>92446453.00999999</v>
      </c>
    </row>
    <row r="14" spans="1:6" x14ac:dyDescent="0.25">
      <c r="A14" t="s">
        <v>6</v>
      </c>
      <c r="B14" t="s">
        <v>182</v>
      </c>
      <c r="C14" s="2">
        <v>17029015.219999999</v>
      </c>
      <c r="E14" s="2" t="s">
        <v>25</v>
      </c>
      <c r="F14" s="2">
        <f>C89</f>
        <v>83073910.909999996</v>
      </c>
    </row>
    <row r="15" spans="1:6" x14ac:dyDescent="0.25">
      <c r="A15" t="s">
        <v>6</v>
      </c>
      <c r="B15" t="s">
        <v>183</v>
      </c>
      <c r="C15" s="2">
        <v>9808966.5</v>
      </c>
    </row>
    <row r="16" spans="1:6" x14ac:dyDescent="0.25">
      <c r="A16" t="s">
        <v>6</v>
      </c>
      <c r="B16" t="s">
        <v>184</v>
      </c>
      <c r="C16" s="2">
        <v>7220048.7199999997</v>
      </c>
    </row>
    <row r="17" spans="1:3" x14ac:dyDescent="0.25">
      <c r="A17" t="s">
        <v>6</v>
      </c>
      <c r="B17" t="s">
        <v>185</v>
      </c>
      <c r="C17" s="2">
        <v>32952882.600000001</v>
      </c>
    </row>
    <row r="18" spans="1:3" x14ac:dyDescent="0.25">
      <c r="A18" t="s">
        <v>6</v>
      </c>
      <c r="B18" t="s">
        <v>186</v>
      </c>
      <c r="C18" s="2">
        <v>32952882.600000001</v>
      </c>
    </row>
    <row r="19" spans="1:3" x14ac:dyDescent="0.25">
      <c r="A19" t="s">
        <v>6</v>
      </c>
      <c r="B19" t="s">
        <v>187</v>
      </c>
      <c r="C19" s="2">
        <v>6441331.7699999996</v>
      </c>
    </row>
    <row r="20" spans="1:3" x14ac:dyDescent="0.25">
      <c r="A20" t="s">
        <v>6</v>
      </c>
      <c r="B20" t="s">
        <v>188</v>
      </c>
      <c r="C20" s="2">
        <v>4866115.12</v>
      </c>
    </row>
    <row r="21" spans="1:3" x14ac:dyDescent="0.25">
      <c r="A21" t="s">
        <v>6</v>
      </c>
      <c r="B21" t="s">
        <v>189</v>
      </c>
      <c r="C21" s="2">
        <v>4763215.7300000004</v>
      </c>
    </row>
    <row r="22" spans="1:3" x14ac:dyDescent="0.25">
      <c r="A22" t="s">
        <v>6</v>
      </c>
      <c r="B22" t="s">
        <v>291</v>
      </c>
      <c r="C22" s="2">
        <v>102899.39</v>
      </c>
    </row>
    <row r="23" spans="1:3" x14ac:dyDescent="0.25">
      <c r="A23" t="s">
        <v>6</v>
      </c>
      <c r="B23" t="s">
        <v>190</v>
      </c>
      <c r="C23" s="2">
        <v>1575216.65</v>
      </c>
    </row>
    <row r="24" spans="1:3" x14ac:dyDescent="0.25">
      <c r="A24" t="s">
        <v>6</v>
      </c>
      <c r="B24" t="s">
        <v>191</v>
      </c>
      <c r="C24" s="2">
        <v>1575216.65</v>
      </c>
    </row>
    <row r="25" spans="1:3" x14ac:dyDescent="0.25">
      <c r="A25" t="s">
        <v>6</v>
      </c>
      <c r="B25" t="s">
        <v>192</v>
      </c>
      <c r="C25" s="2">
        <v>8138004.5800000001</v>
      </c>
    </row>
    <row r="26" spans="1:3" x14ac:dyDescent="0.25">
      <c r="A26" t="s">
        <v>6</v>
      </c>
      <c r="B26" t="s">
        <v>193</v>
      </c>
      <c r="C26" s="2">
        <v>8138004.5800000001</v>
      </c>
    </row>
    <row r="27" spans="1:3" x14ac:dyDescent="0.25">
      <c r="A27" t="s">
        <v>6</v>
      </c>
      <c r="B27" t="s">
        <v>194</v>
      </c>
      <c r="C27" s="2">
        <v>8246431.0700000003</v>
      </c>
    </row>
    <row r="28" spans="1:3" x14ac:dyDescent="0.25">
      <c r="A28" t="s">
        <v>6</v>
      </c>
      <c r="B28" t="s">
        <v>195</v>
      </c>
      <c r="C28" s="2">
        <v>1726817.62</v>
      </c>
    </row>
    <row r="29" spans="1:3" x14ac:dyDescent="0.25">
      <c r="A29" t="s">
        <v>6</v>
      </c>
      <c r="B29" t="s">
        <v>196</v>
      </c>
      <c r="C29" s="2">
        <v>1713308.44</v>
      </c>
    </row>
    <row r="30" spans="1:3" x14ac:dyDescent="0.25">
      <c r="A30" t="s">
        <v>6</v>
      </c>
      <c r="B30" t="s">
        <v>197</v>
      </c>
      <c r="C30" s="2">
        <v>1713308.44</v>
      </c>
    </row>
    <row r="31" spans="1:3" x14ac:dyDescent="0.25">
      <c r="A31" t="s">
        <v>6</v>
      </c>
      <c r="B31" t="s">
        <v>198</v>
      </c>
      <c r="C31" s="2">
        <v>13509.18</v>
      </c>
    </row>
    <row r="32" spans="1:3" x14ac:dyDescent="0.25">
      <c r="A32" t="s">
        <v>6</v>
      </c>
      <c r="B32" t="s">
        <v>295</v>
      </c>
      <c r="C32" s="2">
        <v>6519613.4500000002</v>
      </c>
    </row>
    <row r="33" spans="1:8" x14ac:dyDescent="0.25">
      <c r="A33" t="s">
        <v>6</v>
      </c>
      <c r="B33" t="s">
        <v>200</v>
      </c>
      <c r="C33" s="2">
        <v>436608482.24000001</v>
      </c>
    </row>
    <row r="34" spans="1:8" x14ac:dyDescent="0.25">
      <c r="A34" t="s">
        <v>6</v>
      </c>
      <c r="B34" t="s">
        <v>201</v>
      </c>
      <c r="C34" s="2">
        <v>258292257.22</v>
      </c>
    </row>
    <row r="35" spans="1:8" x14ac:dyDescent="0.25">
      <c r="A35" t="s">
        <v>6</v>
      </c>
      <c r="B35" t="s">
        <v>202</v>
      </c>
      <c r="C35" s="2">
        <v>258292257.22</v>
      </c>
    </row>
    <row r="36" spans="1:8" x14ac:dyDescent="0.25">
      <c r="A36" t="s">
        <v>6</v>
      </c>
      <c r="B36" t="s">
        <v>203</v>
      </c>
      <c r="C36" s="2">
        <v>102868064.41</v>
      </c>
    </row>
    <row r="37" spans="1:8" x14ac:dyDescent="0.25">
      <c r="A37" t="s">
        <v>6</v>
      </c>
      <c r="B37" t="s">
        <v>204</v>
      </c>
      <c r="C37" s="2">
        <v>90710927.069999993</v>
      </c>
    </row>
    <row r="38" spans="1:8" x14ac:dyDescent="0.25">
      <c r="A38" t="s">
        <v>6</v>
      </c>
      <c r="B38" t="s">
        <v>205</v>
      </c>
      <c r="C38" s="2">
        <v>4082513.07</v>
      </c>
    </row>
    <row r="39" spans="1:8" x14ac:dyDescent="0.25">
      <c r="A39" t="s">
        <v>6</v>
      </c>
      <c r="B39" t="s">
        <v>206</v>
      </c>
      <c r="C39" s="2">
        <v>4091217.08</v>
      </c>
    </row>
    <row r="40" spans="1:8" x14ac:dyDescent="0.25">
      <c r="A40" t="s">
        <v>6</v>
      </c>
      <c r="B40" t="s">
        <v>207</v>
      </c>
      <c r="C40" s="2">
        <v>3983407.19</v>
      </c>
    </row>
    <row r="41" spans="1:8" x14ac:dyDescent="0.25">
      <c r="A41" t="s">
        <v>6</v>
      </c>
      <c r="B41" t="s">
        <v>208</v>
      </c>
      <c r="C41" s="2">
        <v>1492809.66</v>
      </c>
    </row>
    <row r="42" spans="1:8" x14ac:dyDescent="0.25">
      <c r="A42" t="s">
        <v>6</v>
      </c>
      <c r="B42" t="s">
        <v>209</v>
      </c>
      <c r="C42" s="2">
        <v>33546.42</v>
      </c>
    </row>
    <row r="43" spans="1:8" x14ac:dyDescent="0.25">
      <c r="A43" t="s">
        <v>6</v>
      </c>
      <c r="B43" t="s">
        <v>210</v>
      </c>
      <c r="C43" s="2">
        <v>1459263.24</v>
      </c>
    </row>
    <row r="44" spans="1:8" x14ac:dyDescent="0.25">
      <c r="A44" t="s">
        <v>6</v>
      </c>
      <c r="B44" t="s">
        <v>297</v>
      </c>
      <c r="C44" s="2">
        <v>98047095.019999996</v>
      </c>
    </row>
    <row r="45" spans="1:8" x14ac:dyDescent="0.25">
      <c r="A45" t="s">
        <v>6</v>
      </c>
      <c r="B45" t="s">
        <v>298</v>
      </c>
      <c r="C45" s="2">
        <v>13878842.689999999</v>
      </c>
    </row>
    <row r="46" spans="1:8" x14ac:dyDescent="0.25">
      <c r="A46" t="s">
        <v>6</v>
      </c>
      <c r="B46" t="s">
        <v>299</v>
      </c>
      <c r="C46" s="2">
        <v>66584854.649999999</v>
      </c>
    </row>
    <row r="47" spans="1:8" x14ac:dyDescent="0.25">
      <c r="A47" t="s">
        <v>6</v>
      </c>
      <c r="B47" t="s">
        <v>300</v>
      </c>
      <c r="C47" s="2">
        <v>1673369.95</v>
      </c>
      <c r="H47" s="1"/>
    </row>
    <row r="48" spans="1:8" x14ac:dyDescent="0.25">
      <c r="A48" t="s">
        <v>6</v>
      </c>
      <c r="B48" t="s">
        <v>301</v>
      </c>
      <c r="C48" s="2">
        <v>917090.16</v>
      </c>
      <c r="H48" s="1"/>
    </row>
    <row r="49" spans="1:3" x14ac:dyDescent="0.25">
      <c r="A49" t="s">
        <v>6</v>
      </c>
      <c r="B49" t="s">
        <v>302</v>
      </c>
      <c r="C49" s="2">
        <v>20000</v>
      </c>
    </row>
    <row r="50" spans="1:3" x14ac:dyDescent="0.25">
      <c r="A50" t="s">
        <v>6</v>
      </c>
      <c r="B50" t="s">
        <v>343</v>
      </c>
      <c r="C50" s="2">
        <v>14972937.57</v>
      </c>
    </row>
    <row r="51" spans="1:3" x14ac:dyDescent="0.25">
      <c r="A51" t="s">
        <v>6</v>
      </c>
      <c r="B51" t="s">
        <v>213</v>
      </c>
      <c r="C51" s="2">
        <v>5421625.46</v>
      </c>
    </row>
    <row r="52" spans="1:3" x14ac:dyDescent="0.25">
      <c r="A52" t="s">
        <v>6</v>
      </c>
      <c r="B52" t="s">
        <v>214</v>
      </c>
      <c r="C52" s="2">
        <v>2651153.9900000002</v>
      </c>
    </row>
    <row r="53" spans="1:3" x14ac:dyDescent="0.25">
      <c r="A53" t="s">
        <v>6</v>
      </c>
      <c r="B53" t="s">
        <v>216</v>
      </c>
      <c r="C53" s="2">
        <v>2255432</v>
      </c>
    </row>
    <row r="54" spans="1:3" x14ac:dyDescent="0.25">
      <c r="A54" t="s">
        <v>6</v>
      </c>
      <c r="B54" t="s">
        <v>217</v>
      </c>
      <c r="C54" s="2">
        <v>515039.47</v>
      </c>
    </row>
    <row r="55" spans="1:3" x14ac:dyDescent="0.25">
      <c r="A55" t="s">
        <v>6</v>
      </c>
      <c r="B55" t="s">
        <v>303</v>
      </c>
      <c r="C55" s="2">
        <v>22897509.07</v>
      </c>
    </row>
    <row r="56" spans="1:3" x14ac:dyDescent="0.25">
      <c r="A56" t="s">
        <v>6</v>
      </c>
      <c r="B56" t="s">
        <v>221</v>
      </c>
      <c r="C56" s="2">
        <v>188832.84</v>
      </c>
    </row>
    <row r="57" spans="1:3" x14ac:dyDescent="0.25">
      <c r="A57" t="s">
        <v>6</v>
      </c>
      <c r="B57" t="s">
        <v>222</v>
      </c>
      <c r="C57" s="2">
        <v>188832.84</v>
      </c>
    </row>
    <row r="58" spans="1:3" x14ac:dyDescent="0.25">
      <c r="A58" t="s">
        <v>6</v>
      </c>
      <c r="B58" t="s">
        <v>344</v>
      </c>
      <c r="C58" s="2">
        <v>3204.7</v>
      </c>
    </row>
    <row r="59" spans="1:3" x14ac:dyDescent="0.25">
      <c r="A59" t="s">
        <v>6</v>
      </c>
      <c r="B59" t="s">
        <v>304</v>
      </c>
      <c r="C59" s="2">
        <v>4191956.92</v>
      </c>
    </row>
    <row r="60" spans="1:3" x14ac:dyDescent="0.25">
      <c r="A60" t="s">
        <v>6</v>
      </c>
      <c r="B60" t="s">
        <v>275</v>
      </c>
      <c r="C60" s="2">
        <v>23181159.140000001</v>
      </c>
    </row>
    <row r="61" spans="1:3" x14ac:dyDescent="0.25">
      <c r="A61" t="s">
        <v>6</v>
      </c>
      <c r="B61" t="s">
        <v>223</v>
      </c>
      <c r="C61" s="2">
        <v>108673827.13</v>
      </c>
    </row>
    <row r="62" spans="1:3" x14ac:dyDescent="0.25">
      <c r="A62" t="s">
        <v>6</v>
      </c>
      <c r="B62" t="s">
        <v>224</v>
      </c>
      <c r="C62" s="2">
        <v>108673827.13</v>
      </c>
    </row>
    <row r="63" spans="1:3" x14ac:dyDescent="0.25">
      <c r="A63" t="s">
        <v>6</v>
      </c>
      <c r="B63" t="s">
        <v>225</v>
      </c>
      <c r="C63" s="2">
        <v>105408728.20999999</v>
      </c>
    </row>
    <row r="64" spans="1:3" x14ac:dyDescent="0.25">
      <c r="A64" t="s">
        <v>6</v>
      </c>
      <c r="B64" t="s">
        <v>226</v>
      </c>
      <c r="C64" s="2">
        <v>88000744.870000005</v>
      </c>
    </row>
    <row r="65" spans="1:3" x14ac:dyDescent="0.25">
      <c r="A65" t="s">
        <v>6</v>
      </c>
      <c r="B65" t="s">
        <v>227</v>
      </c>
      <c r="C65" s="2">
        <v>16618777.68</v>
      </c>
    </row>
    <row r="66" spans="1:3" x14ac:dyDescent="0.25">
      <c r="A66" t="s">
        <v>6</v>
      </c>
      <c r="B66" t="s">
        <v>228</v>
      </c>
      <c r="C66" s="2">
        <v>680223.06</v>
      </c>
    </row>
    <row r="67" spans="1:3" x14ac:dyDescent="0.25">
      <c r="A67" t="s">
        <v>6</v>
      </c>
      <c r="B67" t="s">
        <v>229</v>
      </c>
      <c r="C67" s="2">
        <v>108982.6</v>
      </c>
    </row>
    <row r="68" spans="1:3" x14ac:dyDescent="0.25">
      <c r="A68" t="s">
        <v>6</v>
      </c>
      <c r="B68" t="s">
        <v>230</v>
      </c>
      <c r="C68" s="2">
        <v>2809886</v>
      </c>
    </row>
    <row r="69" spans="1:3" x14ac:dyDescent="0.25">
      <c r="A69" t="s">
        <v>6</v>
      </c>
      <c r="B69" t="s">
        <v>345</v>
      </c>
      <c r="C69" s="2">
        <v>451125.92</v>
      </c>
    </row>
    <row r="70" spans="1:3" x14ac:dyDescent="0.25">
      <c r="A70" t="s">
        <v>6</v>
      </c>
      <c r="B70" t="s">
        <v>231</v>
      </c>
      <c r="C70" s="2">
        <v>4087</v>
      </c>
    </row>
    <row r="71" spans="1:3" x14ac:dyDescent="0.25">
      <c r="A71" t="s">
        <v>6</v>
      </c>
      <c r="B71" t="s">
        <v>232</v>
      </c>
      <c r="C71" s="2">
        <v>93453.95</v>
      </c>
    </row>
    <row r="72" spans="1:3" x14ac:dyDescent="0.25">
      <c r="A72" t="s">
        <v>6</v>
      </c>
      <c r="B72" t="s">
        <v>233</v>
      </c>
      <c r="C72" s="2">
        <v>93453.95</v>
      </c>
    </row>
    <row r="73" spans="1:3" x14ac:dyDescent="0.25">
      <c r="A73" t="s">
        <v>6</v>
      </c>
      <c r="B73" t="s">
        <v>346</v>
      </c>
      <c r="C73" s="2">
        <v>93453.95</v>
      </c>
    </row>
    <row r="74" spans="1:3" x14ac:dyDescent="0.25">
      <c r="A74" t="s">
        <v>6</v>
      </c>
      <c r="B74" t="s">
        <v>234</v>
      </c>
      <c r="C74" s="2">
        <v>69548943.939999998</v>
      </c>
    </row>
    <row r="75" spans="1:3" x14ac:dyDescent="0.25">
      <c r="A75" t="s">
        <v>6</v>
      </c>
      <c r="B75" t="s">
        <v>235</v>
      </c>
      <c r="C75" s="2">
        <v>69548943.939999998</v>
      </c>
    </row>
    <row r="76" spans="1:3" x14ac:dyDescent="0.25">
      <c r="A76" t="s">
        <v>6</v>
      </c>
      <c r="B76" t="s">
        <v>236</v>
      </c>
      <c r="C76" s="2">
        <v>69548943.939999998</v>
      </c>
    </row>
    <row r="77" spans="1:3" x14ac:dyDescent="0.25">
      <c r="A77" t="s">
        <v>6</v>
      </c>
      <c r="B77" t="s">
        <v>237</v>
      </c>
      <c r="C77" s="2">
        <v>1641962.79</v>
      </c>
    </row>
    <row r="78" spans="1:3" x14ac:dyDescent="0.25">
      <c r="A78" t="s">
        <v>6</v>
      </c>
      <c r="B78" t="s">
        <v>238</v>
      </c>
      <c r="C78" s="2">
        <v>966883.78</v>
      </c>
    </row>
    <row r="79" spans="1:3" x14ac:dyDescent="0.25">
      <c r="A79" t="s">
        <v>6</v>
      </c>
      <c r="B79" t="s">
        <v>306</v>
      </c>
      <c r="C79" s="2">
        <v>955228.4</v>
      </c>
    </row>
    <row r="80" spans="1:3" x14ac:dyDescent="0.25">
      <c r="A80" t="s">
        <v>6</v>
      </c>
      <c r="B80" t="s">
        <v>307</v>
      </c>
      <c r="C80" s="2">
        <v>11655.38</v>
      </c>
    </row>
    <row r="81" spans="1:3" x14ac:dyDescent="0.25">
      <c r="A81" t="s">
        <v>6</v>
      </c>
      <c r="B81" t="s">
        <v>239</v>
      </c>
      <c r="C81" s="2">
        <v>674979.01</v>
      </c>
    </row>
    <row r="82" spans="1:3" x14ac:dyDescent="0.25">
      <c r="A82" t="s">
        <v>6</v>
      </c>
      <c r="B82" t="s">
        <v>240</v>
      </c>
      <c r="C82" s="2">
        <v>3381.63</v>
      </c>
    </row>
    <row r="83" spans="1:3" x14ac:dyDescent="0.25">
      <c r="A83" t="s">
        <v>6</v>
      </c>
      <c r="B83" t="s">
        <v>308</v>
      </c>
      <c r="C83" s="2">
        <v>3381.63</v>
      </c>
    </row>
    <row r="84" spans="1:3" x14ac:dyDescent="0.25">
      <c r="A84" t="s">
        <v>6</v>
      </c>
      <c r="B84" t="s">
        <v>241</v>
      </c>
      <c r="C84" s="2">
        <v>671597.38</v>
      </c>
    </row>
    <row r="85" spans="1:3" x14ac:dyDescent="0.25">
      <c r="A85" t="s">
        <v>6</v>
      </c>
      <c r="B85" t="s">
        <v>242</v>
      </c>
      <c r="C85" s="2">
        <v>671597.38</v>
      </c>
    </row>
    <row r="86" spans="1:3" x14ac:dyDescent="0.25">
      <c r="A86" t="s">
        <v>6</v>
      </c>
      <c r="B86" t="s">
        <v>243</v>
      </c>
      <c r="C86" s="2">
        <v>100</v>
      </c>
    </row>
    <row r="87" spans="1:3" x14ac:dyDescent="0.25">
      <c r="A87" t="s">
        <v>6</v>
      </c>
      <c r="B87" t="s">
        <v>244</v>
      </c>
      <c r="C87" s="2">
        <v>100</v>
      </c>
    </row>
    <row r="88" spans="1:3" x14ac:dyDescent="0.25">
      <c r="A88" t="s">
        <v>6</v>
      </c>
      <c r="B88" t="s">
        <v>245</v>
      </c>
      <c r="C88" s="2">
        <v>100</v>
      </c>
    </row>
    <row r="89" spans="1:3" x14ac:dyDescent="0.25">
      <c r="A89" t="s">
        <v>6</v>
      </c>
      <c r="B89" t="s">
        <v>246</v>
      </c>
      <c r="C89" s="2">
        <v>83073910.909999996</v>
      </c>
    </row>
    <row r="90" spans="1:3" x14ac:dyDescent="0.25">
      <c r="A90" t="s">
        <v>6</v>
      </c>
      <c r="B90" t="s">
        <v>247</v>
      </c>
      <c r="C90" s="2">
        <v>63826052.590000004</v>
      </c>
    </row>
    <row r="91" spans="1:3" x14ac:dyDescent="0.25">
      <c r="A91" t="s">
        <v>6</v>
      </c>
      <c r="B91" t="s">
        <v>248</v>
      </c>
      <c r="C91" s="2">
        <v>63826052.590000004</v>
      </c>
    </row>
    <row r="92" spans="1:3" x14ac:dyDescent="0.25">
      <c r="A92" t="s">
        <v>6</v>
      </c>
      <c r="B92" t="s">
        <v>347</v>
      </c>
      <c r="C92" s="2">
        <v>18711.599999999999</v>
      </c>
    </row>
    <row r="93" spans="1:3" x14ac:dyDescent="0.25">
      <c r="A93" t="s">
        <v>6</v>
      </c>
      <c r="B93" t="s">
        <v>348</v>
      </c>
      <c r="C93" s="2">
        <v>18711.599999999999</v>
      </c>
    </row>
    <row r="94" spans="1:3" x14ac:dyDescent="0.25">
      <c r="A94" t="s">
        <v>6</v>
      </c>
      <c r="B94" t="s">
        <v>282</v>
      </c>
      <c r="C94" s="2">
        <v>63807340.990000002</v>
      </c>
    </row>
    <row r="95" spans="1:3" x14ac:dyDescent="0.25">
      <c r="A95" t="s">
        <v>6</v>
      </c>
      <c r="B95" t="s">
        <v>349</v>
      </c>
      <c r="C95" s="2">
        <v>63807340.990000002</v>
      </c>
    </row>
    <row r="96" spans="1:3" x14ac:dyDescent="0.25">
      <c r="A96" t="s">
        <v>6</v>
      </c>
      <c r="B96" t="s">
        <v>350</v>
      </c>
      <c r="C96" s="2">
        <v>63807340.990000002</v>
      </c>
    </row>
    <row r="97" spans="1:3" x14ac:dyDescent="0.25">
      <c r="A97" t="s">
        <v>6</v>
      </c>
      <c r="B97" t="s">
        <v>250</v>
      </c>
      <c r="C97" s="2">
        <v>9001855.4000000004</v>
      </c>
    </row>
    <row r="98" spans="1:3" x14ac:dyDescent="0.25">
      <c r="A98" t="s">
        <v>6</v>
      </c>
      <c r="B98" t="s">
        <v>351</v>
      </c>
      <c r="C98" s="2">
        <v>9001855.4000000004</v>
      </c>
    </row>
    <row r="99" spans="1:3" x14ac:dyDescent="0.25">
      <c r="A99" t="s">
        <v>6</v>
      </c>
      <c r="B99" t="s">
        <v>253</v>
      </c>
      <c r="C99" s="2">
        <v>10246002.92</v>
      </c>
    </row>
    <row r="100" spans="1:3" x14ac:dyDescent="0.25">
      <c r="A100" t="s">
        <v>6</v>
      </c>
      <c r="B100" t="s">
        <v>254</v>
      </c>
      <c r="C100" s="2">
        <v>10243041.16</v>
      </c>
    </row>
    <row r="101" spans="1:3" x14ac:dyDescent="0.25">
      <c r="A101" t="s">
        <v>6</v>
      </c>
      <c r="B101" t="s">
        <v>255</v>
      </c>
      <c r="C101" s="2">
        <v>10243041.16</v>
      </c>
    </row>
    <row r="102" spans="1:3" x14ac:dyDescent="0.25">
      <c r="A102" t="s">
        <v>6</v>
      </c>
      <c r="B102" t="s">
        <v>311</v>
      </c>
      <c r="C102" s="2">
        <v>965687</v>
      </c>
    </row>
    <row r="103" spans="1:3" x14ac:dyDescent="0.25">
      <c r="A103" t="s">
        <v>6</v>
      </c>
      <c r="B103" t="s">
        <v>312</v>
      </c>
      <c r="C103" s="2">
        <v>53220</v>
      </c>
    </row>
    <row r="104" spans="1:3" x14ac:dyDescent="0.25">
      <c r="A104" t="s">
        <v>6</v>
      </c>
      <c r="B104" t="s">
        <v>313</v>
      </c>
      <c r="C104" s="2">
        <v>753503</v>
      </c>
    </row>
    <row r="105" spans="1:3" x14ac:dyDescent="0.25">
      <c r="A105" t="s">
        <v>6</v>
      </c>
      <c r="B105" t="s">
        <v>352</v>
      </c>
      <c r="C105" s="2">
        <v>158964</v>
      </c>
    </row>
    <row r="106" spans="1:3" x14ac:dyDescent="0.25">
      <c r="A106" t="s">
        <v>6</v>
      </c>
      <c r="B106" t="s">
        <v>257</v>
      </c>
      <c r="C106" s="2">
        <v>366946.2</v>
      </c>
    </row>
    <row r="107" spans="1:3" x14ac:dyDescent="0.25">
      <c r="A107" t="s">
        <v>6</v>
      </c>
      <c r="B107" t="s">
        <v>258</v>
      </c>
      <c r="C107" s="2">
        <v>8910407.9600000009</v>
      </c>
    </row>
    <row r="108" spans="1:3" x14ac:dyDescent="0.25">
      <c r="A108" t="s">
        <v>6</v>
      </c>
      <c r="B108" t="s">
        <v>314</v>
      </c>
      <c r="C108" s="2">
        <v>443000</v>
      </c>
    </row>
    <row r="109" spans="1:3" x14ac:dyDescent="0.25">
      <c r="A109" t="s">
        <v>6</v>
      </c>
      <c r="B109" t="s">
        <v>315</v>
      </c>
      <c r="C109" s="2">
        <v>5123327.57</v>
      </c>
    </row>
    <row r="110" spans="1:3" x14ac:dyDescent="0.25">
      <c r="A110" t="s">
        <v>6</v>
      </c>
      <c r="B110" t="s">
        <v>316</v>
      </c>
      <c r="C110" s="2">
        <v>400000</v>
      </c>
    </row>
    <row r="111" spans="1:3" x14ac:dyDescent="0.25">
      <c r="A111" t="s">
        <v>6</v>
      </c>
      <c r="B111" t="s">
        <v>317</v>
      </c>
      <c r="C111" s="2">
        <v>2944080.39</v>
      </c>
    </row>
    <row r="112" spans="1:3" x14ac:dyDescent="0.25">
      <c r="A112" t="s">
        <v>6</v>
      </c>
      <c r="B112" t="s">
        <v>353</v>
      </c>
      <c r="C112" s="2">
        <v>2961.76</v>
      </c>
    </row>
    <row r="113" spans="1:3" x14ac:dyDescent="0.25">
      <c r="A113" t="s">
        <v>6</v>
      </c>
      <c r="B113" t="s">
        <v>354</v>
      </c>
      <c r="C113" s="2">
        <v>2961.76</v>
      </c>
    </row>
    <row r="114" spans="1:3" x14ac:dyDescent="0.25">
      <c r="A114" t="s">
        <v>6</v>
      </c>
      <c r="B114" t="s">
        <v>355</v>
      </c>
      <c r="C114" s="2">
        <v>2961.76</v>
      </c>
    </row>
    <row r="115" spans="1:3" x14ac:dyDescent="0.25">
      <c r="A115" t="s">
        <v>6</v>
      </c>
      <c r="B115" t="s">
        <v>318</v>
      </c>
      <c r="C115" s="2">
        <v>613212469.86000001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6.5703125" customWidth="1"/>
    <col min="2" max="2" width="102.5703125" customWidth="1"/>
    <col min="3" max="3" width="19.5703125" bestFit="1" customWidth="1"/>
    <col min="4" max="4" width="13" customWidth="1"/>
    <col min="5" max="5" width="17.42578125" bestFit="1" customWidth="1"/>
    <col min="6" max="6" width="19.5703125" bestFit="1" customWidth="1"/>
    <col min="7" max="7" width="16.85546875" bestFit="1" customWidth="1"/>
    <col min="8" max="10" width="13" customWidth="1"/>
  </cols>
  <sheetData>
    <row r="1" spans="1:6" x14ac:dyDescent="0.25">
      <c r="A1" t="s">
        <v>342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85</v>
      </c>
      <c r="B5" t="s">
        <v>290</v>
      </c>
      <c r="C5" s="2">
        <v>1713428016</v>
      </c>
      <c r="E5" s="2" t="s">
        <v>7</v>
      </c>
      <c r="F5" s="2">
        <f>C5</f>
        <v>1713428016</v>
      </c>
    </row>
    <row r="6" spans="1:6" x14ac:dyDescent="0.25">
      <c r="A6" t="s">
        <v>85</v>
      </c>
      <c r="B6" t="s">
        <v>174</v>
      </c>
      <c r="C6" s="2">
        <v>1427007528.9100001</v>
      </c>
      <c r="E6" s="2" t="s">
        <v>9</v>
      </c>
      <c r="F6" s="2">
        <f>C7</f>
        <v>383309330.69999999</v>
      </c>
    </row>
    <row r="7" spans="1:6" x14ac:dyDescent="0.25">
      <c r="A7" t="s">
        <v>85</v>
      </c>
      <c r="B7" t="s">
        <v>175</v>
      </c>
      <c r="C7" s="2">
        <v>383309330.69999999</v>
      </c>
      <c r="E7" s="2" t="s">
        <v>11</v>
      </c>
      <c r="F7" s="2">
        <f>C15</f>
        <v>133592380.45</v>
      </c>
    </row>
    <row r="8" spans="1:6" x14ac:dyDescent="0.25">
      <c r="A8" t="s">
        <v>85</v>
      </c>
      <c r="B8" t="s">
        <v>176</v>
      </c>
      <c r="C8" s="2">
        <v>350794612.61000001</v>
      </c>
      <c r="E8" s="2" t="s">
        <v>13</v>
      </c>
      <c r="F8" s="2">
        <f>C16</f>
        <v>37085838.75</v>
      </c>
    </row>
    <row r="9" spans="1:6" x14ac:dyDescent="0.25">
      <c r="A9" t="s">
        <v>85</v>
      </c>
      <c r="B9" t="s">
        <v>177</v>
      </c>
      <c r="C9" s="2">
        <v>48918266.869999997</v>
      </c>
      <c r="E9" s="2" t="s">
        <v>15</v>
      </c>
      <c r="F9" s="2">
        <f>C18</f>
        <v>131198126.54000001</v>
      </c>
    </row>
    <row r="10" spans="1:6" x14ac:dyDescent="0.25">
      <c r="A10" t="s">
        <v>85</v>
      </c>
      <c r="B10" t="s">
        <v>178</v>
      </c>
      <c r="C10" s="2">
        <v>48918266.869999997</v>
      </c>
      <c r="E10" s="2" t="s">
        <v>121</v>
      </c>
      <c r="F10" s="2">
        <f>C51</f>
        <v>895395993.61000001</v>
      </c>
    </row>
    <row r="11" spans="1:6" x14ac:dyDescent="0.25">
      <c r="A11" t="s">
        <v>85</v>
      </c>
      <c r="B11" t="s">
        <v>179</v>
      </c>
      <c r="C11" s="2">
        <v>44528085.490000002</v>
      </c>
      <c r="E11" s="2" t="s">
        <v>19</v>
      </c>
      <c r="F11" s="2">
        <f>C55</f>
        <v>90710927.069999993</v>
      </c>
    </row>
    <row r="12" spans="1:6" x14ac:dyDescent="0.25">
      <c r="A12" t="s">
        <v>85</v>
      </c>
      <c r="B12" t="s">
        <v>180</v>
      </c>
      <c r="C12" s="2">
        <v>4390181.38</v>
      </c>
      <c r="E12" s="2" t="s">
        <v>21</v>
      </c>
      <c r="F12" s="2">
        <f>C84</f>
        <v>507118928.30000001</v>
      </c>
    </row>
    <row r="13" spans="1:6" x14ac:dyDescent="0.25">
      <c r="A13" t="s">
        <v>85</v>
      </c>
      <c r="B13" t="s">
        <v>181</v>
      </c>
      <c r="C13" s="2">
        <v>301876345.74000001</v>
      </c>
      <c r="E13" s="2" t="s">
        <v>23</v>
      </c>
      <c r="F13" s="2">
        <f>SUM(C76,C93)</f>
        <v>128245930.09999999</v>
      </c>
    </row>
    <row r="14" spans="1:6" x14ac:dyDescent="0.25">
      <c r="A14" t="s">
        <v>85</v>
      </c>
      <c r="B14" t="s">
        <v>182</v>
      </c>
      <c r="C14" s="2">
        <v>170678219.19999999</v>
      </c>
      <c r="E14" s="2" t="s">
        <v>25</v>
      </c>
      <c r="F14" s="2">
        <f>C112</f>
        <v>286420487.08999997</v>
      </c>
    </row>
    <row r="15" spans="1:6" x14ac:dyDescent="0.25">
      <c r="A15" t="s">
        <v>85</v>
      </c>
      <c r="B15" t="s">
        <v>183</v>
      </c>
      <c r="C15" s="2">
        <v>133592380.45</v>
      </c>
    </row>
    <row r="16" spans="1:6" x14ac:dyDescent="0.25">
      <c r="A16" t="s">
        <v>85</v>
      </c>
      <c r="B16" t="s">
        <v>184</v>
      </c>
      <c r="C16" s="2">
        <v>37085838.75</v>
      </c>
    </row>
    <row r="17" spans="1:3" x14ac:dyDescent="0.25">
      <c r="A17" t="s">
        <v>85</v>
      </c>
      <c r="B17" t="s">
        <v>185</v>
      </c>
      <c r="C17" s="2">
        <v>131198126.54000001</v>
      </c>
    </row>
    <row r="18" spans="1:3" x14ac:dyDescent="0.25">
      <c r="A18" t="s">
        <v>85</v>
      </c>
      <c r="B18" t="s">
        <v>186</v>
      </c>
      <c r="C18" s="2">
        <v>131198126.54000001</v>
      </c>
    </row>
    <row r="19" spans="1:3" x14ac:dyDescent="0.25">
      <c r="A19" t="s">
        <v>85</v>
      </c>
      <c r="B19" t="s">
        <v>187</v>
      </c>
      <c r="C19" s="2">
        <v>32514718.09</v>
      </c>
    </row>
    <row r="20" spans="1:3" x14ac:dyDescent="0.25">
      <c r="A20" t="s">
        <v>85</v>
      </c>
      <c r="B20" t="s">
        <v>190</v>
      </c>
      <c r="C20" s="2">
        <v>18713836.940000001</v>
      </c>
    </row>
    <row r="21" spans="1:3" x14ac:dyDescent="0.25">
      <c r="A21" t="s">
        <v>85</v>
      </c>
      <c r="B21" t="s">
        <v>191</v>
      </c>
      <c r="C21" s="2">
        <v>18713836.940000001</v>
      </c>
    </row>
    <row r="22" spans="1:3" x14ac:dyDescent="0.25">
      <c r="A22" t="s">
        <v>85</v>
      </c>
      <c r="B22" t="s">
        <v>292</v>
      </c>
      <c r="C22" s="2">
        <v>13800881.15</v>
      </c>
    </row>
    <row r="23" spans="1:3" x14ac:dyDescent="0.25">
      <c r="A23" t="s">
        <v>85</v>
      </c>
      <c r="B23" t="s">
        <v>293</v>
      </c>
      <c r="C23" s="2">
        <v>13800881.15</v>
      </c>
    </row>
    <row r="24" spans="1:3" x14ac:dyDescent="0.25">
      <c r="A24" t="s">
        <v>85</v>
      </c>
      <c r="B24" t="s">
        <v>319</v>
      </c>
      <c r="C24" s="2">
        <v>123639.31</v>
      </c>
    </row>
    <row r="25" spans="1:3" x14ac:dyDescent="0.25">
      <c r="A25" t="s">
        <v>85</v>
      </c>
      <c r="B25" t="s">
        <v>294</v>
      </c>
      <c r="C25" s="2">
        <v>13677241.84</v>
      </c>
    </row>
    <row r="26" spans="1:3" x14ac:dyDescent="0.25">
      <c r="A26" t="s">
        <v>85</v>
      </c>
      <c r="B26" t="s">
        <v>192</v>
      </c>
      <c r="C26" s="2">
        <v>66062257.469999999</v>
      </c>
    </row>
    <row r="27" spans="1:3" x14ac:dyDescent="0.25">
      <c r="A27" t="s">
        <v>85</v>
      </c>
      <c r="B27" t="s">
        <v>259</v>
      </c>
      <c r="C27" s="2">
        <v>44008543.729999997</v>
      </c>
    </row>
    <row r="28" spans="1:3" x14ac:dyDescent="0.25">
      <c r="A28" t="s">
        <v>85</v>
      </c>
      <c r="B28" t="s">
        <v>320</v>
      </c>
      <c r="C28" s="2">
        <v>44008543.729999997</v>
      </c>
    </row>
    <row r="29" spans="1:3" x14ac:dyDescent="0.25">
      <c r="A29" t="s">
        <v>85</v>
      </c>
      <c r="B29" t="s">
        <v>321</v>
      </c>
      <c r="C29" s="2">
        <v>43652876.350000001</v>
      </c>
    </row>
    <row r="30" spans="1:3" x14ac:dyDescent="0.25">
      <c r="A30" t="s">
        <v>85</v>
      </c>
      <c r="B30" t="s">
        <v>322</v>
      </c>
      <c r="C30" s="2">
        <v>41562363.039999999</v>
      </c>
    </row>
    <row r="31" spans="1:3" x14ac:dyDescent="0.25">
      <c r="A31" t="s">
        <v>85</v>
      </c>
      <c r="B31" t="s">
        <v>323</v>
      </c>
      <c r="C31" s="2">
        <v>1955505.06</v>
      </c>
    </row>
    <row r="32" spans="1:3" x14ac:dyDescent="0.25">
      <c r="A32" t="s">
        <v>85</v>
      </c>
      <c r="B32" t="s">
        <v>324</v>
      </c>
      <c r="C32" s="2">
        <v>69347.11</v>
      </c>
    </row>
    <row r="33" spans="1:3" x14ac:dyDescent="0.25">
      <c r="A33" t="s">
        <v>85</v>
      </c>
      <c r="B33" t="s">
        <v>325</v>
      </c>
      <c r="C33" s="2">
        <v>65661.14</v>
      </c>
    </row>
    <row r="34" spans="1:3" x14ac:dyDescent="0.25">
      <c r="A34" t="s">
        <v>85</v>
      </c>
      <c r="B34" t="s">
        <v>326</v>
      </c>
      <c r="C34" s="2">
        <v>355667.38</v>
      </c>
    </row>
    <row r="35" spans="1:3" x14ac:dyDescent="0.25">
      <c r="A35" t="s">
        <v>85</v>
      </c>
      <c r="B35" t="s">
        <v>327</v>
      </c>
      <c r="C35" s="2">
        <v>355667.38</v>
      </c>
    </row>
    <row r="36" spans="1:3" x14ac:dyDescent="0.25">
      <c r="A36" t="s">
        <v>85</v>
      </c>
      <c r="B36" t="s">
        <v>193</v>
      </c>
      <c r="C36" s="2">
        <v>22053713.739999998</v>
      </c>
    </row>
    <row r="37" spans="1:3" x14ac:dyDescent="0.25">
      <c r="A37" t="s">
        <v>85</v>
      </c>
      <c r="B37" t="s">
        <v>194</v>
      </c>
      <c r="C37" s="2">
        <v>56870753.049999997</v>
      </c>
    </row>
    <row r="38" spans="1:3" x14ac:dyDescent="0.25">
      <c r="A38" t="s">
        <v>85</v>
      </c>
      <c r="B38" t="s">
        <v>356</v>
      </c>
      <c r="C38" s="2">
        <v>10300</v>
      </c>
    </row>
    <row r="39" spans="1:3" x14ac:dyDescent="0.25">
      <c r="A39" t="s">
        <v>85</v>
      </c>
      <c r="B39" t="s">
        <v>357</v>
      </c>
      <c r="C39" s="2">
        <v>10300</v>
      </c>
    </row>
    <row r="40" spans="1:3" x14ac:dyDescent="0.25">
      <c r="A40" t="s">
        <v>85</v>
      </c>
      <c r="B40" t="s">
        <v>358</v>
      </c>
      <c r="C40" s="2">
        <v>10300</v>
      </c>
    </row>
    <row r="41" spans="1:3" x14ac:dyDescent="0.25">
      <c r="A41" t="s">
        <v>85</v>
      </c>
      <c r="B41" t="s">
        <v>195</v>
      </c>
      <c r="C41" s="2">
        <v>56860453.049999997</v>
      </c>
    </row>
    <row r="42" spans="1:3" x14ac:dyDescent="0.25">
      <c r="A42" t="s">
        <v>85</v>
      </c>
      <c r="B42" t="s">
        <v>196</v>
      </c>
      <c r="C42" s="2">
        <v>56842647.289999999</v>
      </c>
    </row>
    <row r="43" spans="1:3" x14ac:dyDescent="0.25">
      <c r="A43" t="s">
        <v>85</v>
      </c>
      <c r="B43" t="s">
        <v>197</v>
      </c>
      <c r="C43" s="2">
        <v>1999643.07</v>
      </c>
    </row>
    <row r="44" spans="1:3" x14ac:dyDescent="0.25">
      <c r="A44" t="s">
        <v>85</v>
      </c>
      <c r="B44" t="s">
        <v>266</v>
      </c>
      <c r="C44" s="2">
        <v>54843004.219999999</v>
      </c>
    </row>
    <row r="45" spans="1:3" x14ac:dyDescent="0.25">
      <c r="A45" t="s">
        <v>85</v>
      </c>
      <c r="B45" t="s">
        <v>267</v>
      </c>
      <c r="C45" s="2">
        <v>17805.759999999998</v>
      </c>
    </row>
    <row r="46" spans="1:3" x14ac:dyDescent="0.25">
      <c r="A46" t="s">
        <v>85</v>
      </c>
      <c r="B46" t="s">
        <v>268</v>
      </c>
      <c r="C46" s="2">
        <v>7050270.5899999999</v>
      </c>
    </row>
    <row r="47" spans="1:3" x14ac:dyDescent="0.25">
      <c r="A47" t="s">
        <v>85</v>
      </c>
      <c r="B47" t="s">
        <v>269</v>
      </c>
      <c r="C47" s="2">
        <v>5160949.63</v>
      </c>
    </row>
    <row r="48" spans="1:3" x14ac:dyDescent="0.25">
      <c r="A48" t="s">
        <v>85</v>
      </c>
      <c r="B48" t="s">
        <v>270</v>
      </c>
      <c r="C48" s="2">
        <v>5160949.63</v>
      </c>
    </row>
    <row r="49" spans="1:7" x14ac:dyDescent="0.25">
      <c r="A49" t="s">
        <v>85</v>
      </c>
      <c r="B49" t="s">
        <v>271</v>
      </c>
      <c r="C49" s="2">
        <v>1889320.96</v>
      </c>
    </row>
    <row r="50" spans="1:7" x14ac:dyDescent="0.25">
      <c r="A50" t="s">
        <v>85</v>
      </c>
      <c r="B50" t="s">
        <v>272</v>
      </c>
      <c r="C50" s="2">
        <v>1889320.96</v>
      </c>
    </row>
    <row r="51" spans="1:7" x14ac:dyDescent="0.25">
      <c r="A51" t="s">
        <v>85</v>
      </c>
      <c r="B51" t="s">
        <v>200</v>
      </c>
      <c r="C51" s="2">
        <v>895395993.61000001</v>
      </c>
    </row>
    <row r="52" spans="1:7" x14ac:dyDescent="0.25">
      <c r="A52" t="s">
        <v>85</v>
      </c>
      <c r="B52" t="s">
        <v>201</v>
      </c>
      <c r="C52" s="2">
        <v>265301481.69</v>
      </c>
    </row>
    <row r="53" spans="1:7" x14ac:dyDescent="0.25">
      <c r="A53" t="s">
        <v>85</v>
      </c>
      <c r="B53" t="s">
        <v>202</v>
      </c>
      <c r="C53" s="2">
        <v>265301481.69</v>
      </c>
    </row>
    <row r="54" spans="1:7" x14ac:dyDescent="0.25">
      <c r="A54" t="s">
        <v>85</v>
      </c>
      <c r="B54" t="s">
        <v>203</v>
      </c>
      <c r="C54" s="2">
        <v>98985325.640000001</v>
      </c>
    </row>
    <row r="55" spans="1:7" x14ac:dyDescent="0.25">
      <c r="A55" t="s">
        <v>85</v>
      </c>
      <c r="B55" t="s">
        <v>204</v>
      </c>
      <c r="C55" s="2">
        <v>90710927.069999993</v>
      </c>
    </row>
    <row r="56" spans="1:7" x14ac:dyDescent="0.25">
      <c r="A56" t="s">
        <v>85</v>
      </c>
      <c r="B56" t="s">
        <v>205</v>
      </c>
      <c r="C56" s="2">
        <v>4082513.07</v>
      </c>
    </row>
    <row r="57" spans="1:7" x14ac:dyDescent="0.25">
      <c r="A57" t="s">
        <v>85</v>
      </c>
      <c r="B57" t="s">
        <v>206</v>
      </c>
      <c r="C57" s="2">
        <v>4091217.08</v>
      </c>
    </row>
    <row r="58" spans="1:7" x14ac:dyDescent="0.25">
      <c r="A58" t="s">
        <v>85</v>
      </c>
      <c r="B58" t="s">
        <v>207</v>
      </c>
      <c r="C58" s="2">
        <v>100668.42</v>
      </c>
    </row>
    <row r="59" spans="1:7" x14ac:dyDescent="0.25">
      <c r="A59" t="s">
        <v>85</v>
      </c>
      <c r="B59" t="s">
        <v>208</v>
      </c>
      <c r="C59" s="2">
        <v>4178606.02</v>
      </c>
    </row>
    <row r="60" spans="1:7" x14ac:dyDescent="0.25">
      <c r="A60" t="s">
        <v>85</v>
      </c>
      <c r="B60" t="s">
        <v>209</v>
      </c>
      <c r="C60" s="2">
        <v>35696.129999999997</v>
      </c>
    </row>
    <row r="61" spans="1:7" x14ac:dyDescent="0.25">
      <c r="A61" t="s">
        <v>85</v>
      </c>
      <c r="B61" t="s">
        <v>329</v>
      </c>
      <c r="C61" s="2">
        <v>1017468.45</v>
      </c>
    </row>
    <row r="62" spans="1:7" x14ac:dyDescent="0.25">
      <c r="A62" t="s">
        <v>85</v>
      </c>
      <c r="B62" t="s">
        <v>273</v>
      </c>
      <c r="C62" s="2">
        <v>1666178.2</v>
      </c>
    </row>
    <row r="63" spans="1:7" x14ac:dyDescent="0.25">
      <c r="A63" t="s">
        <v>85</v>
      </c>
      <c r="B63" t="s">
        <v>210</v>
      </c>
      <c r="C63" s="2">
        <v>1459263.24</v>
      </c>
    </row>
    <row r="64" spans="1:7" x14ac:dyDescent="0.25">
      <c r="A64" t="s">
        <v>85</v>
      </c>
      <c r="B64" t="s">
        <v>297</v>
      </c>
      <c r="C64" s="2">
        <v>77643876.909999996</v>
      </c>
      <c r="G64" s="1"/>
    </row>
    <row r="65" spans="1:7" x14ac:dyDescent="0.25">
      <c r="A65" t="s">
        <v>85</v>
      </c>
      <c r="B65" t="s">
        <v>298</v>
      </c>
      <c r="C65" s="2">
        <v>26738054.670000002</v>
      </c>
      <c r="G65" s="1"/>
    </row>
    <row r="66" spans="1:7" x14ac:dyDescent="0.25">
      <c r="A66" t="s">
        <v>85</v>
      </c>
      <c r="B66" t="s">
        <v>299</v>
      </c>
      <c r="C66" s="2">
        <v>26782445.690000001</v>
      </c>
    </row>
    <row r="67" spans="1:7" x14ac:dyDescent="0.25">
      <c r="A67" t="s">
        <v>85</v>
      </c>
      <c r="B67" t="s">
        <v>300</v>
      </c>
      <c r="C67" s="2">
        <v>4451227.12</v>
      </c>
    </row>
    <row r="68" spans="1:7" x14ac:dyDescent="0.25">
      <c r="A68" t="s">
        <v>85</v>
      </c>
      <c r="B68" t="s">
        <v>301</v>
      </c>
      <c r="C68" s="2">
        <v>1779835.44</v>
      </c>
    </row>
    <row r="69" spans="1:7" x14ac:dyDescent="0.25">
      <c r="A69" t="s">
        <v>85</v>
      </c>
      <c r="B69" t="s">
        <v>302</v>
      </c>
      <c r="C69" s="2">
        <v>30000</v>
      </c>
    </row>
    <row r="70" spans="1:7" x14ac:dyDescent="0.25">
      <c r="A70" t="s">
        <v>85</v>
      </c>
      <c r="B70" t="s">
        <v>343</v>
      </c>
      <c r="C70" s="2">
        <v>17862313.989999998</v>
      </c>
    </row>
    <row r="71" spans="1:7" x14ac:dyDescent="0.25">
      <c r="A71" t="s">
        <v>85</v>
      </c>
      <c r="B71" t="s">
        <v>213</v>
      </c>
      <c r="C71" s="2">
        <v>7245414.6299999999</v>
      </c>
    </row>
    <row r="72" spans="1:7" x14ac:dyDescent="0.25">
      <c r="A72" t="s">
        <v>85</v>
      </c>
      <c r="B72" t="s">
        <v>214</v>
      </c>
      <c r="C72" s="2">
        <v>3735336.46</v>
      </c>
    </row>
    <row r="73" spans="1:7" x14ac:dyDescent="0.25">
      <c r="A73" t="s">
        <v>85</v>
      </c>
      <c r="B73" t="s">
        <v>215</v>
      </c>
      <c r="C73" s="2">
        <v>8700</v>
      </c>
    </row>
    <row r="74" spans="1:7" x14ac:dyDescent="0.25">
      <c r="A74" t="s">
        <v>85</v>
      </c>
      <c r="B74" t="s">
        <v>216</v>
      </c>
      <c r="C74" s="2">
        <v>3272020.4</v>
      </c>
    </row>
    <row r="75" spans="1:7" x14ac:dyDescent="0.25">
      <c r="A75" t="s">
        <v>85</v>
      </c>
      <c r="B75" t="s">
        <v>217</v>
      </c>
      <c r="C75" s="2">
        <v>229357.77</v>
      </c>
    </row>
    <row r="76" spans="1:7" x14ac:dyDescent="0.25">
      <c r="A76" t="s">
        <v>85</v>
      </c>
      <c r="B76" t="s">
        <v>303</v>
      </c>
      <c r="C76" s="2">
        <v>31956040.780000001</v>
      </c>
    </row>
    <row r="77" spans="1:7" x14ac:dyDescent="0.25">
      <c r="A77" t="s">
        <v>85</v>
      </c>
      <c r="B77" t="s">
        <v>221</v>
      </c>
      <c r="C77" s="2">
        <v>416319.98</v>
      </c>
    </row>
    <row r="78" spans="1:7" x14ac:dyDescent="0.25">
      <c r="A78" t="s">
        <v>85</v>
      </c>
      <c r="B78" t="s">
        <v>274</v>
      </c>
      <c r="C78" s="2">
        <v>416319.98</v>
      </c>
    </row>
    <row r="79" spans="1:7" x14ac:dyDescent="0.25">
      <c r="A79" t="s">
        <v>85</v>
      </c>
      <c r="B79" t="s">
        <v>304</v>
      </c>
      <c r="C79" s="2">
        <v>4455892.46</v>
      </c>
    </row>
    <row r="80" spans="1:7" x14ac:dyDescent="0.25">
      <c r="A80" t="s">
        <v>85</v>
      </c>
      <c r="B80" t="s">
        <v>275</v>
      </c>
      <c r="C80" s="2">
        <v>40420005.270000003</v>
      </c>
    </row>
    <row r="81" spans="1:3" x14ac:dyDescent="0.25">
      <c r="A81" t="s">
        <v>85</v>
      </c>
      <c r="B81" t="s">
        <v>223</v>
      </c>
      <c r="C81" s="2">
        <v>533786022.14999998</v>
      </c>
    </row>
    <row r="82" spans="1:3" x14ac:dyDescent="0.25">
      <c r="A82" t="s">
        <v>85</v>
      </c>
      <c r="B82" t="s">
        <v>224</v>
      </c>
      <c r="C82" s="2">
        <v>533786022.14999998</v>
      </c>
    </row>
    <row r="83" spans="1:3" x14ac:dyDescent="0.25">
      <c r="A83" t="s">
        <v>85</v>
      </c>
      <c r="B83" t="s">
        <v>225</v>
      </c>
      <c r="C83" s="2">
        <v>531515946.14999998</v>
      </c>
    </row>
    <row r="84" spans="1:3" x14ac:dyDescent="0.25">
      <c r="A84" t="s">
        <v>85</v>
      </c>
      <c r="B84" t="s">
        <v>226</v>
      </c>
      <c r="C84" s="2">
        <v>507118928.30000001</v>
      </c>
    </row>
    <row r="85" spans="1:3" x14ac:dyDescent="0.25">
      <c r="A85" t="s">
        <v>85</v>
      </c>
      <c r="B85" t="s">
        <v>227</v>
      </c>
      <c r="C85" s="2">
        <v>19312848.460000001</v>
      </c>
    </row>
    <row r="86" spans="1:3" x14ac:dyDescent="0.25">
      <c r="A86" t="s">
        <v>85</v>
      </c>
      <c r="B86" t="s">
        <v>228</v>
      </c>
      <c r="C86" s="2">
        <v>4899072.29</v>
      </c>
    </row>
    <row r="87" spans="1:3" x14ac:dyDescent="0.25">
      <c r="A87" t="s">
        <v>85</v>
      </c>
      <c r="B87" t="s">
        <v>229</v>
      </c>
      <c r="C87" s="2">
        <v>161548.91</v>
      </c>
    </row>
    <row r="88" spans="1:3" x14ac:dyDescent="0.25">
      <c r="A88" t="s">
        <v>85</v>
      </c>
      <c r="B88" t="s">
        <v>276</v>
      </c>
      <c r="C88" s="2">
        <v>23548.19</v>
      </c>
    </row>
    <row r="89" spans="1:3" x14ac:dyDescent="0.25">
      <c r="A89" t="s">
        <v>85</v>
      </c>
      <c r="B89" t="s">
        <v>230</v>
      </c>
      <c r="C89" s="2">
        <v>1876350</v>
      </c>
    </row>
    <row r="90" spans="1:3" x14ac:dyDescent="0.25">
      <c r="A90" t="s">
        <v>85</v>
      </c>
      <c r="B90" t="s">
        <v>345</v>
      </c>
      <c r="C90" s="2">
        <v>393726</v>
      </c>
    </row>
    <row r="91" spans="1:3" x14ac:dyDescent="0.25">
      <c r="A91" t="s">
        <v>85</v>
      </c>
      <c r="B91" t="s">
        <v>234</v>
      </c>
      <c r="C91" s="2">
        <v>96289889.319999993</v>
      </c>
    </row>
    <row r="92" spans="1:3" x14ac:dyDescent="0.25">
      <c r="A92" t="s">
        <v>85</v>
      </c>
      <c r="B92" t="s">
        <v>235</v>
      </c>
      <c r="C92" s="2">
        <v>96289889.319999993</v>
      </c>
    </row>
    <row r="93" spans="1:3" x14ac:dyDescent="0.25">
      <c r="A93" t="s">
        <v>85</v>
      </c>
      <c r="B93" t="s">
        <v>236</v>
      </c>
      <c r="C93" s="2">
        <v>96289889.319999993</v>
      </c>
    </row>
    <row r="94" spans="1:3" x14ac:dyDescent="0.25">
      <c r="A94" t="s">
        <v>85</v>
      </c>
      <c r="B94" t="s">
        <v>359</v>
      </c>
      <c r="C94" s="2">
        <v>18600.45</v>
      </c>
    </row>
    <row r="95" spans="1:3" x14ac:dyDescent="0.25">
      <c r="A95" t="s">
        <v>85</v>
      </c>
      <c r="B95" t="s">
        <v>360</v>
      </c>
      <c r="C95" s="2">
        <v>18600.45</v>
      </c>
    </row>
    <row r="96" spans="1:3" x14ac:dyDescent="0.25">
      <c r="A96" t="s">
        <v>85</v>
      </c>
      <c r="B96" t="s">
        <v>237</v>
      </c>
      <c r="C96" s="2">
        <v>18318923.489999998</v>
      </c>
    </row>
    <row r="97" spans="1:3" x14ac:dyDescent="0.25">
      <c r="A97" t="s">
        <v>85</v>
      </c>
      <c r="B97" t="s">
        <v>238</v>
      </c>
      <c r="C97" s="2">
        <v>2048368.69</v>
      </c>
    </row>
    <row r="98" spans="1:3" x14ac:dyDescent="0.25">
      <c r="A98" t="s">
        <v>85</v>
      </c>
      <c r="B98" t="s">
        <v>306</v>
      </c>
      <c r="C98" s="2">
        <v>1997018.36</v>
      </c>
    </row>
    <row r="99" spans="1:3" x14ac:dyDescent="0.25">
      <c r="A99" t="s">
        <v>85</v>
      </c>
      <c r="B99" t="s">
        <v>307</v>
      </c>
      <c r="C99" s="2">
        <v>51350.33</v>
      </c>
    </row>
    <row r="100" spans="1:3" x14ac:dyDescent="0.25">
      <c r="A100" t="s">
        <v>85</v>
      </c>
      <c r="B100" t="s">
        <v>239</v>
      </c>
      <c r="C100" s="2">
        <v>3463715.63</v>
      </c>
    </row>
    <row r="101" spans="1:3" x14ac:dyDescent="0.25">
      <c r="A101" t="s">
        <v>85</v>
      </c>
      <c r="B101" t="s">
        <v>240</v>
      </c>
      <c r="C101" s="2">
        <v>38197</v>
      </c>
    </row>
    <row r="102" spans="1:3" x14ac:dyDescent="0.25">
      <c r="A102" t="s">
        <v>85</v>
      </c>
      <c r="B102" t="s">
        <v>308</v>
      </c>
      <c r="C102" s="2">
        <v>38197</v>
      </c>
    </row>
    <row r="103" spans="1:3" x14ac:dyDescent="0.25">
      <c r="A103" t="s">
        <v>85</v>
      </c>
      <c r="B103" t="s">
        <v>241</v>
      </c>
      <c r="C103" s="2">
        <v>3425518.63</v>
      </c>
    </row>
    <row r="104" spans="1:3" x14ac:dyDescent="0.25">
      <c r="A104" t="s">
        <v>85</v>
      </c>
      <c r="B104" t="s">
        <v>279</v>
      </c>
      <c r="C104" s="2">
        <v>210459.92</v>
      </c>
    </row>
    <row r="105" spans="1:3" x14ac:dyDescent="0.25">
      <c r="A105" t="s">
        <v>85</v>
      </c>
      <c r="B105" t="s">
        <v>280</v>
      </c>
      <c r="C105" s="2">
        <v>206275.05</v>
      </c>
    </row>
    <row r="106" spans="1:3" x14ac:dyDescent="0.25">
      <c r="A106" t="s">
        <v>85</v>
      </c>
      <c r="B106" t="s">
        <v>242</v>
      </c>
      <c r="C106" s="2">
        <v>3008783.66</v>
      </c>
    </row>
    <row r="107" spans="1:3" x14ac:dyDescent="0.25">
      <c r="A107" t="s">
        <v>85</v>
      </c>
      <c r="B107" t="s">
        <v>243</v>
      </c>
      <c r="C107" s="2">
        <v>12806839.17</v>
      </c>
    </row>
    <row r="108" spans="1:3" x14ac:dyDescent="0.25">
      <c r="A108" t="s">
        <v>85</v>
      </c>
      <c r="B108" t="s">
        <v>281</v>
      </c>
      <c r="C108" s="2">
        <v>12632138.029999999</v>
      </c>
    </row>
    <row r="109" spans="1:3" x14ac:dyDescent="0.25">
      <c r="A109" t="s">
        <v>85</v>
      </c>
      <c r="B109" t="s">
        <v>244</v>
      </c>
      <c r="C109" s="2">
        <v>174701.14</v>
      </c>
    </row>
    <row r="110" spans="1:3" x14ac:dyDescent="0.25">
      <c r="A110" t="s">
        <v>85</v>
      </c>
      <c r="B110" t="s">
        <v>245</v>
      </c>
      <c r="C110" s="2">
        <v>174515.38</v>
      </c>
    </row>
    <row r="111" spans="1:3" x14ac:dyDescent="0.25">
      <c r="A111" t="s">
        <v>85</v>
      </c>
      <c r="B111" t="s">
        <v>332</v>
      </c>
      <c r="C111" s="2">
        <v>185.76</v>
      </c>
    </row>
    <row r="112" spans="1:3" x14ac:dyDescent="0.25">
      <c r="A112" t="s">
        <v>85</v>
      </c>
      <c r="B112" t="s">
        <v>246</v>
      </c>
      <c r="C112" s="2">
        <v>286420487.08999997</v>
      </c>
    </row>
    <row r="113" spans="1:3" x14ac:dyDescent="0.25">
      <c r="A113" t="s">
        <v>85</v>
      </c>
      <c r="B113" t="s">
        <v>247</v>
      </c>
      <c r="C113" s="2">
        <v>244892110.12</v>
      </c>
    </row>
    <row r="114" spans="1:3" x14ac:dyDescent="0.25">
      <c r="A114" t="s">
        <v>85</v>
      </c>
      <c r="B114" t="s">
        <v>248</v>
      </c>
      <c r="C114" s="2">
        <v>115990001.97</v>
      </c>
    </row>
    <row r="115" spans="1:3" x14ac:dyDescent="0.25">
      <c r="A115" t="s">
        <v>85</v>
      </c>
      <c r="B115" t="s">
        <v>283</v>
      </c>
      <c r="C115" s="2">
        <v>115990001.97</v>
      </c>
    </row>
    <row r="116" spans="1:3" x14ac:dyDescent="0.25">
      <c r="A116" t="s">
        <v>85</v>
      </c>
      <c r="B116" t="s">
        <v>333</v>
      </c>
      <c r="C116" s="2">
        <v>128902108.15000001</v>
      </c>
    </row>
    <row r="117" spans="1:3" x14ac:dyDescent="0.25">
      <c r="A117" t="s">
        <v>85</v>
      </c>
      <c r="B117" t="s">
        <v>334</v>
      </c>
      <c r="C117" s="2">
        <v>128902108.15000001</v>
      </c>
    </row>
    <row r="118" spans="1:3" x14ac:dyDescent="0.25">
      <c r="A118" t="s">
        <v>85</v>
      </c>
      <c r="B118" t="s">
        <v>253</v>
      </c>
      <c r="C118" s="2">
        <v>41528376.969999999</v>
      </c>
    </row>
    <row r="119" spans="1:3" x14ac:dyDescent="0.25">
      <c r="A119" t="s">
        <v>85</v>
      </c>
      <c r="B119" t="s">
        <v>254</v>
      </c>
      <c r="C119" s="2">
        <v>41528376.969999999</v>
      </c>
    </row>
    <row r="120" spans="1:3" x14ac:dyDescent="0.25">
      <c r="A120" t="s">
        <v>85</v>
      </c>
      <c r="B120" t="s">
        <v>255</v>
      </c>
      <c r="C120" s="2">
        <v>41528376.969999999</v>
      </c>
    </row>
    <row r="121" spans="1:3" x14ac:dyDescent="0.25">
      <c r="A121" t="s">
        <v>85</v>
      </c>
      <c r="B121" t="s">
        <v>311</v>
      </c>
      <c r="C121" s="2">
        <v>2243212</v>
      </c>
    </row>
    <row r="122" spans="1:3" x14ac:dyDescent="0.25">
      <c r="A122" t="s">
        <v>85</v>
      </c>
      <c r="B122" t="s">
        <v>312</v>
      </c>
      <c r="C122" s="2">
        <v>999254</v>
      </c>
    </row>
    <row r="123" spans="1:3" x14ac:dyDescent="0.25">
      <c r="A123" t="s">
        <v>85</v>
      </c>
      <c r="B123" t="s">
        <v>352</v>
      </c>
      <c r="C123" s="2">
        <v>1243958</v>
      </c>
    </row>
    <row r="124" spans="1:3" x14ac:dyDescent="0.25">
      <c r="A124" t="s">
        <v>85</v>
      </c>
      <c r="B124" t="s">
        <v>257</v>
      </c>
      <c r="C124" s="2">
        <v>69459.89</v>
      </c>
    </row>
    <row r="125" spans="1:3" x14ac:dyDescent="0.25">
      <c r="A125" t="s">
        <v>85</v>
      </c>
      <c r="B125" t="s">
        <v>258</v>
      </c>
      <c r="C125" s="2">
        <v>39215705.079999998</v>
      </c>
    </row>
    <row r="126" spans="1:3" x14ac:dyDescent="0.25">
      <c r="A126" t="s">
        <v>85</v>
      </c>
      <c r="B126" t="s">
        <v>315</v>
      </c>
      <c r="C126" s="2">
        <v>36048389.109999999</v>
      </c>
    </row>
    <row r="127" spans="1:3" x14ac:dyDescent="0.25">
      <c r="A127" t="s">
        <v>85</v>
      </c>
      <c r="B127" t="s">
        <v>317</v>
      </c>
      <c r="C127" s="2">
        <v>3167315.97</v>
      </c>
    </row>
    <row r="128" spans="1:3" x14ac:dyDescent="0.25">
      <c r="A128" t="s">
        <v>85</v>
      </c>
      <c r="B128" t="s">
        <v>335</v>
      </c>
      <c r="C128" s="2">
        <v>31293558.149999999</v>
      </c>
    </row>
    <row r="129" spans="1:3" x14ac:dyDescent="0.25">
      <c r="A129" t="s">
        <v>85</v>
      </c>
      <c r="B129" t="s">
        <v>336</v>
      </c>
      <c r="C129" s="2">
        <v>31293558.149999999</v>
      </c>
    </row>
    <row r="130" spans="1:3" x14ac:dyDescent="0.25">
      <c r="A130" t="s">
        <v>85</v>
      </c>
      <c r="B130" t="s">
        <v>337</v>
      </c>
      <c r="C130" s="2">
        <v>31293558.149999999</v>
      </c>
    </row>
    <row r="131" spans="1:3" x14ac:dyDescent="0.25">
      <c r="A131" t="s">
        <v>85</v>
      </c>
      <c r="B131" t="s">
        <v>338</v>
      </c>
      <c r="C131" s="2">
        <v>31293558.149999999</v>
      </c>
    </row>
    <row r="132" spans="1:3" x14ac:dyDescent="0.25">
      <c r="A132" t="s">
        <v>85</v>
      </c>
      <c r="B132" t="s">
        <v>339</v>
      </c>
      <c r="C132" s="2">
        <v>31293558.149999999</v>
      </c>
    </row>
    <row r="133" spans="1:3" x14ac:dyDescent="0.25">
      <c r="A133" t="s">
        <v>85</v>
      </c>
      <c r="B133" t="s">
        <v>340</v>
      </c>
      <c r="C133" s="2">
        <v>31293558.149999999</v>
      </c>
    </row>
    <row r="134" spans="1:3" x14ac:dyDescent="0.25">
      <c r="A134" t="s">
        <v>85</v>
      </c>
      <c r="B134" t="s">
        <v>341</v>
      </c>
      <c r="C134" s="2">
        <v>31293558.149999999</v>
      </c>
    </row>
    <row r="135" spans="1:3" x14ac:dyDescent="0.25">
      <c r="A135" t="s">
        <v>85</v>
      </c>
      <c r="B135" t="s">
        <v>318</v>
      </c>
      <c r="C135" s="2">
        <v>1744721574.1500001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5.5703125" customWidth="1"/>
    <col min="2" max="2" width="101.42578125" customWidth="1"/>
    <col min="3" max="3" width="18" bestFit="1" customWidth="1"/>
    <col min="4" max="4" width="13" customWidth="1"/>
    <col min="5" max="5" width="17.42578125" bestFit="1" customWidth="1"/>
    <col min="6" max="6" width="18" bestFit="1" customWidth="1"/>
    <col min="7" max="7" width="13" customWidth="1"/>
    <col min="8" max="8" width="16.85546875" bestFit="1" customWidth="1"/>
    <col min="9" max="10" width="13" customWidth="1"/>
  </cols>
  <sheetData>
    <row r="1" spans="1:6" x14ac:dyDescent="0.25">
      <c r="A1" t="s">
        <v>361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6</v>
      </c>
      <c r="B5" t="s">
        <v>290</v>
      </c>
      <c r="C5" s="2">
        <v>659135653.29999995</v>
      </c>
      <c r="E5" s="2" t="s">
        <v>7</v>
      </c>
      <c r="F5" s="2">
        <f>C5</f>
        <v>659135653.29999995</v>
      </c>
    </row>
    <row r="6" spans="1:6" x14ac:dyDescent="0.25">
      <c r="A6" t="s">
        <v>6</v>
      </c>
      <c r="B6" t="s">
        <v>174</v>
      </c>
      <c r="C6" s="2">
        <v>637832661.51999998</v>
      </c>
      <c r="E6" s="2" t="s">
        <v>9</v>
      </c>
      <c r="F6" s="2">
        <f>C7</f>
        <v>104622454.88</v>
      </c>
    </row>
    <row r="7" spans="1:6" x14ac:dyDescent="0.25">
      <c r="A7" t="s">
        <v>6</v>
      </c>
      <c r="B7" t="s">
        <v>175</v>
      </c>
      <c r="C7" s="2">
        <v>104622454.88</v>
      </c>
      <c r="E7" s="2" t="s">
        <v>11</v>
      </c>
      <c r="F7" s="2">
        <f>C15</f>
        <v>12534330</v>
      </c>
    </row>
    <row r="8" spans="1:6" x14ac:dyDescent="0.25">
      <c r="A8" t="s">
        <v>6</v>
      </c>
      <c r="B8" t="s">
        <v>176</v>
      </c>
      <c r="C8" s="2">
        <v>97184922.730000004</v>
      </c>
      <c r="E8" s="2" t="s">
        <v>13</v>
      </c>
      <c r="F8" s="2">
        <f>C16</f>
        <v>14165100.76</v>
      </c>
    </row>
    <row r="9" spans="1:6" x14ac:dyDescent="0.25">
      <c r="A9" t="s">
        <v>6</v>
      </c>
      <c r="B9" t="s">
        <v>177</v>
      </c>
      <c r="C9" s="2">
        <v>30193432.260000002</v>
      </c>
      <c r="E9" s="2" t="s">
        <v>15</v>
      </c>
      <c r="F9" s="2">
        <f>C18</f>
        <v>40292059.710000001</v>
      </c>
    </row>
    <row r="10" spans="1:6" x14ac:dyDescent="0.25">
      <c r="A10" t="s">
        <v>6</v>
      </c>
      <c r="B10" t="s">
        <v>178</v>
      </c>
      <c r="C10" s="2">
        <v>30193432.260000002</v>
      </c>
      <c r="E10" s="2" t="s">
        <v>121</v>
      </c>
      <c r="F10" s="2">
        <f>C37</f>
        <v>510380279.75</v>
      </c>
    </row>
    <row r="11" spans="1:6" x14ac:dyDescent="0.25">
      <c r="A11" t="s">
        <v>6</v>
      </c>
      <c r="B11" t="s">
        <v>179</v>
      </c>
      <c r="C11" s="2">
        <v>17642049.34</v>
      </c>
      <c r="E11" s="2" t="s">
        <v>19</v>
      </c>
      <c r="F11" s="2">
        <f>C41</f>
        <v>122032357.88</v>
      </c>
    </row>
    <row r="12" spans="1:6" x14ac:dyDescent="0.25">
      <c r="A12" t="s">
        <v>6</v>
      </c>
      <c r="B12" t="s">
        <v>180</v>
      </c>
      <c r="C12" s="2">
        <v>12551382.92</v>
      </c>
      <c r="E12" s="2" t="s">
        <v>21</v>
      </c>
      <c r="F12" s="2">
        <f>C68</f>
        <v>116291152.72</v>
      </c>
    </row>
    <row r="13" spans="1:6" x14ac:dyDescent="0.25">
      <c r="A13" t="s">
        <v>6</v>
      </c>
      <c r="B13" t="s">
        <v>362</v>
      </c>
      <c r="C13" s="2">
        <v>66991490.469999999</v>
      </c>
      <c r="E13" s="2" t="s">
        <v>23</v>
      </c>
      <c r="F13" s="2">
        <f>SUM(C60,C79)</f>
        <v>122174707.84</v>
      </c>
    </row>
    <row r="14" spans="1:6" x14ac:dyDescent="0.25">
      <c r="A14" t="s">
        <v>6</v>
      </c>
      <c r="B14" t="s">
        <v>363</v>
      </c>
      <c r="C14" s="2">
        <v>26699430.760000002</v>
      </c>
      <c r="E14" s="2" t="s">
        <v>25</v>
      </c>
      <c r="F14" s="2">
        <f>C92</f>
        <v>21302991.780000001</v>
      </c>
    </row>
    <row r="15" spans="1:6" x14ac:dyDescent="0.25">
      <c r="A15" t="s">
        <v>6</v>
      </c>
      <c r="B15" t="s">
        <v>364</v>
      </c>
      <c r="C15" s="2">
        <v>12534330</v>
      </c>
    </row>
    <row r="16" spans="1:6" x14ac:dyDescent="0.25">
      <c r="A16" t="s">
        <v>6</v>
      </c>
      <c r="B16" t="s">
        <v>365</v>
      </c>
      <c r="C16" s="2">
        <v>14165100.76</v>
      </c>
    </row>
    <row r="17" spans="1:3" x14ac:dyDescent="0.25">
      <c r="A17" t="s">
        <v>6</v>
      </c>
      <c r="B17" t="s">
        <v>366</v>
      </c>
      <c r="C17" s="2">
        <v>40292059.710000001</v>
      </c>
    </row>
    <row r="18" spans="1:3" x14ac:dyDescent="0.25">
      <c r="A18" t="s">
        <v>6</v>
      </c>
      <c r="B18" t="s">
        <v>367</v>
      </c>
      <c r="C18" s="2">
        <v>40292059.710000001</v>
      </c>
    </row>
    <row r="19" spans="1:3" x14ac:dyDescent="0.25">
      <c r="A19" t="s">
        <v>6</v>
      </c>
      <c r="B19" t="s">
        <v>187</v>
      </c>
      <c r="C19" s="2">
        <v>7437532.1500000004</v>
      </c>
    </row>
    <row r="20" spans="1:3" x14ac:dyDescent="0.25">
      <c r="A20" t="s">
        <v>6</v>
      </c>
      <c r="B20" t="s">
        <v>188</v>
      </c>
      <c r="C20" s="2">
        <v>5416380.46</v>
      </c>
    </row>
    <row r="21" spans="1:3" x14ac:dyDescent="0.25">
      <c r="A21" t="s">
        <v>6</v>
      </c>
      <c r="B21" t="s">
        <v>189</v>
      </c>
      <c r="C21" s="2">
        <v>5267868.84</v>
      </c>
    </row>
    <row r="22" spans="1:3" x14ac:dyDescent="0.25">
      <c r="A22" t="s">
        <v>6</v>
      </c>
      <c r="B22" t="s">
        <v>291</v>
      </c>
      <c r="C22" s="2">
        <v>148511.62</v>
      </c>
    </row>
    <row r="23" spans="1:3" x14ac:dyDescent="0.25">
      <c r="A23" t="s">
        <v>6</v>
      </c>
      <c r="B23" t="s">
        <v>190</v>
      </c>
      <c r="C23" s="2">
        <v>2021151.69</v>
      </c>
    </row>
    <row r="24" spans="1:3" x14ac:dyDescent="0.25">
      <c r="A24" t="s">
        <v>6</v>
      </c>
      <c r="B24" t="s">
        <v>191</v>
      </c>
      <c r="C24" s="2">
        <v>2021151.69</v>
      </c>
    </row>
    <row r="25" spans="1:3" x14ac:dyDescent="0.25">
      <c r="A25" t="s">
        <v>6</v>
      </c>
      <c r="B25" t="s">
        <v>192</v>
      </c>
      <c r="C25" s="2">
        <v>9753101.7400000002</v>
      </c>
    </row>
    <row r="26" spans="1:3" x14ac:dyDescent="0.25">
      <c r="A26" t="s">
        <v>6</v>
      </c>
      <c r="B26" t="s">
        <v>193</v>
      </c>
      <c r="C26" s="2">
        <v>9753101.7400000002</v>
      </c>
    </row>
    <row r="27" spans="1:3" x14ac:dyDescent="0.25">
      <c r="A27" t="s">
        <v>6</v>
      </c>
      <c r="B27" t="s">
        <v>194</v>
      </c>
      <c r="C27" s="2">
        <v>11800723.43</v>
      </c>
    </row>
    <row r="28" spans="1:3" x14ac:dyDescent="0.25">
      <c r="A28" t="s">
        <v>6</v>
      </c>
      <c r="B28" t="s">
        <v>195</v>
      </c>
      <c r="C28" s="2">
        <v>3456462.09</v>
      </c>
    </row>
    <row r="29" spans="1:3" x14ac:dyDescent="0.25">
      <c r="A29" t="s">
        <v>6</v>
      </c>
      <c r="B29" t="s">
        <v>196</v>
      </c>
      <c r="C29" s="2">
        <v>3393895.41</v>
      </c>
    </row>
    <row r="30" spans="1:3" x14ac:dyDescent="0.25">
      <c r="A30" t="s">
        <v>6</v>
      </c>
      <c r="B30" t="s">
        <v>197</v>
      </c>
      <c r="C30" s="2">
        <v>3388125.95</v>
      </c>
    </row>
    <row r="31" spans="1:3" x14ac:dyDescent="0.25">
      <c r="A31" t="s">
        <v>6</v>
      </c>
      <c r="B31" t="s">
        <v>368</v>
      </c>
      <c r="C31" s="2">
        <v>5769.46</v>
      </c>
    </row>
    <row r="32" spans="1:3" x14ac:dyDescent="0.25">
      <c r="A32" t="s">
        <v>6</v>
      </c>
      <c r="B32" t="s">
        <v>198</v>
      </c>
      <c r="C32" s="2">
        <v>62566.68</v>
      </c>
    </row>
    <row r="33" spans="1:8" x14ac:dyDescent="0.25">
      <c r="A33" t="s">
        <v>6</v>
      </c>
      <c r="B33" t="s">
        <v>199</v>
      </c>
      <c r="C33" s="2">
        <v>1600000</v>
      </c>
    </row>
    <row r="34" spans="1:8" x14ac:dyDescent="0.25">
      <c r="A34" t="s">
        <v>6</v>
      </c>
      <c r="B34" t="s">
        <v>369</v>
      </c>
      <c r="C34" s="2">
        <v>1600000</v>
      </c>
    </row>
    <row r="35" spans="1:8" x14ac:dyDescent="0.25">
      <c r="A35" t="s">
        <v>6</v>
      </c>
      <c r="B35" t="s">
        <v>370</v>
      </c>
      <c r="C35" s="2">
        <v>1600000</v>
      </c>
    </row>
    <row r="36" spans="1:8" x14ac:dyDescent="0.25">
      <c r="A36" t="s">
        <v>6</v>
      </c>
      <c r="B36" t="s">
        <v>295</v>
      </c>
      <c r="C36" s="2">
        <v>6744261.3399999999</v>
      </c>
    </row>
    <row r="37" spans="1:8" x14ac:dyDescent="0.25">
      <c r="A37" t="s">
        <v>6</v>
      </c>
      <c r="B37" t="s">
        <v>200</v>
      </c>
      <c r="C37" s="2">
        <v>510380279.75</v>
      </c>
    </row>
    <row r="38" spans="1:8" x14ac:dyDescent="0.25">
      <c r="A38" t="s">
        <v>6</v>
      </c>
      <c r="B38" t="s">
        <v>201</v>
      </c>
      <c r="C38" s="2">
        <v>280393688.14999998</v>
      </c>
    </row>
    <row r="39" spans="1:8" x14ac:dyDescent="0.25">
      <c r="A39" t="s">
        <v>6</v>
      </c>
      <c r="B39" t="s">
        <v>371</v>
      </c>
      <c r="C39" s="2">
        <v>280393688.14999998</v>
      </c>
    </row>
    <row r="40" spans="1:8" x14ac:dyDescent="0.25">
      <c r="A40" t="s">
        <v>6</v>
      </c>
      <c r="B40" t="s">
        <v>372</v>
      </c>
      <c r="C40" s="2">
        <v>137101069.77000001</v>
      </c>
    </row>
    <row r="41" spans="1:8" x14ac:dyDescent="0.25">
      <c r="A41" t="s">
        <v>6</v>
      </c>
      <c r="B41" t="s">
        <v>373</v>
      </c>
      <c r="C41" s="2">
        <v>122032357.88</v>
      </c>
    </row>
    <row r="42" spans="1:8" x14ac:dyDescent="0.25">
      <c r="A42" t="s">
        <v>6</v>
      </c>
      <c r="B42" t="s">
        <v>374</v>
      </c>
      <c r="C42" s="2">
        <v>5348827.24</v>
      </c>
    </row>
    <row r="43" spans="1:8" x14ac:dyDescent="0.25">
      <c r="A43" t="s">
        <v>6</v>
      </c>
      <c r="B43" t="s">
        <v>375</v>
      </c>
      <c r="C43" s="2">
        <v>4724873.42</v>
      </c>
    </row>
    <row r="44" spans="1:8" x14ac:dyDescent="0.25">
      <c r="A44" t="s">
        <v>6</v>
      </c>
      <c r="B44" t="s">
        <v>376</v>
      </c>
      <c r="C44" s="2">
        <v>4995011.2300000004</v>
      </c>
    </row>
    <row r="45" spans="1:8" x14ac:dyDescent="0.25">
      <c r="A45" t="s">
        <v>6</v>
      </c>
      <c r="B45" t="s">
        <v>377</v>
      </c>
      <c r="C45" s="2">
        <v>2380695.7000000002</v>
      </c>
    </row>
    <row r="46" spans="1:8" x14ac:dyDescent="0.25">
      <c r="A46" t="s">
        <v>6</v>
      </c>
      <c r="B46" t="s">
        <v>378</v>
      </c>
      <c r="C46" s="2">
        <v>21746.25</v>
      </c>
    </row>
    <row r="47" spans="1:8" x14ac:dyDescent="0.25">
      <c r="A47" t="s">
        <v>6</v>
      </c>
      <c r="B47" t="s">
        <v>379</v>
      </c>
      <c r="C47" s="2">
        <v>2358949.4500000002</v>
      </c>
      <c r="H47" s="1"/>
    </row>
    <row r="48" spans="1:8" x14ac:dyDescent="0.25">
      <c r="A48" t="s">
        <v>6</v>
      </c>
      <c r="B48" t="s">
        <v>380</v>
      </c>
      <c r="C48" s="2">
        <v>101055865.95999999</v>
      </c>
      <c r="H48" s="1"/>
    </row>
    <row r="49" spans="1:3" x14ac:dyDescent="0.25">
      <c r="A49" t="s">
        <v>6</v>
      </c>
      <c r="B49" t="s">
        <v>381</v>
      </c>
      <c r="C49" s="2">
        <v>30333076.289999999</v>
      </c>
    </row>
    <row r="50" spans="1:3" x14ac:dyDescent="0.25">
      <c r="A50" t="s">
        <v>6</v>
      </c>
      <c r="B50" t="s">
        <v>382</v>
      </c>
      <c r="C50" s="2">
        <v>65405790.240000002</v>
      </c>
    </row>
    <row r="51" spans="1:3" x14ac:dyDescent="0.25">
      <c r="A51" t="s">
        <v>6</v>
      </c>
      <c r="B51" t="s">
        <v>300</v>
      </c>
      <c r="C51" s="2">
        <v>1741928.16</v>
      </c>
    </row>
    <row r="52" spans="1:3" x14ac:dyDescent="0.25">
      <c r="A52" t="s">
        <v>6</v>
      </c>
      <c r="B52" t="s">
        <v>301</v>
      </c>
      <c r="C52" s="2">
        <v>917090.16</v>
      </c>
    </row>
    <row r="53" spans="1:3" x14ac:dyDescent="0.25">
      <c r="A53" t="s">
        <v>6</v>
      </c>
      <c r="B53" t="s">
        <v>302</v>
      </c>
      <c r="C53" s="2">
        <v>20000</v>
      </c>
    </row>
    <row r="54" spans="1:3" x14ac:dyDescent="0.25">
      <c r="A54" t="s">
        <v>6</v>
      </c>
      <c r="B54" t="s">
        <v>343</v>
      </c>
      <c r="C54" s="2">
        <v>2637981.11</v>
      </c>
    </row>
    <row r="55" spans="1:3" x14ac:dyDescent="0.25">
      <c r="A55" t="s">
        <v>6</v>
      </c>
      <c r="B55" t="s">
        <v>383</v>
      </c>
      <c r="C55" s="2">
        <v>6039947.5</v>
      </c>
    </row>
    <row r="56" spans="1:3" x14ac:dyDescent="0.25">
      <c r="A56" t="s">
        <v>6</v>
      </c>
      <c r="B56" t="s">
        <v>384</v>
      </c>
      <c r="C56" s="2">
        <v>2949129.54</v>
      </c>
    </row>
    <row r="57" spans="1:3" x14ac:dyDescent="0.25">
      <c r="A57" t="s">
        <v>6</v>
      </c>
      <c r="B57" t="s">
        <v>385</v>
      </c>
      <c r="C57" s="2">
        <v>14880</v>
      </c>
    </row>
    <row r="58" spans="1:3" x14ac:dyDescent="0.25">
      <c r="A58" t="s">
        <v>6</v>
      </c>
      <c r="B58" t="s">
        <v>386</v>
      </c>
      <c r="C58" s="2">
        <v>2403313</v>
      </c>
    </row>
    <row r="59" spans="1:3" x14ac:dyDescent="0.25">
      <c r="A59" t="s">
        <v>6</v>
      </c>
      <c r="B59" t="s">
        <v>387</v>
      </c>
      <c r="C59" s="2">
        <v>672624.96</v>
      </c>
    </row>
    <row r="60" spans="1:3" x14ac:dyDescent="0.25">
      <c r="A60" t="s">
        <v>6</v>
      </c>
      <c r="B60" t="s">
        <v>303</v>
      </c>
      <c r="C60" s="2">
        <v>31239931.699999999</v>
      </c>
    </row>
    <row r="61" spans="1:3" x14ac:dyDescent="0.25">
      <c r="A61" t="s">
        <v>6</v>
      </c>
      <c r="B61" t="s">
        <v>388</v>
      </c>
      <c r="C61" s="2">
        <v>153368.9</v>
      </c>
    </row>
    <row r="62" spans="1:3" x14ac:dyDescent="0.25">
      <c r="A62" t="s">
        <v>6</v>
      </c>
      <c r="B62" t="s">
        <v>389</v>
      </c>
      <c r="C62" s="2">
        <v>153368.9</v>
      </c>
    </row>
    <row r="63" spans="1:3" x14ac:dyDescent="0.25">
      <c r="A63" t="s">
        <v>6</v>
      </c>
      <c r="B63" t="s">
        <v>304</v>
      </c>
      <c r="C63" s="2">
        <v>1820269.42</v>
      </c>
    </row>
    <row r="64" spans="1:3" x14ac:dyDescent="0.25">
      <c r="A64" t="s">
        <v>6</v>
      </c>
      <c r="B64" t="s">
        <v>390</v>
      </c>
      <c r="C64" s="2">
        <v>602539.19999999995</v>
      </c>
    </row>
    <row r="65" spans="1:3" x14ac:dyDescent="0.25">
      <c r="A65" t="s">
        <v>6</v>
      </c>
      <c r="B65" t="s">
        <v>223</v>
      </c>
      <c r="C65" s="2">
        <v>139003730.84999999</v>
      </c>
    </row>
    <row r="66" spans="1:3" x14ac:dyDescent="0.25">
      <c r="A66" t="s">
        <v>6</v>
      </c>
      <c r="B66" t="s">
        <v>391</v>
      </c>
      <c r="C66" s="2">
        <v>139003730.84999999</v>
      </c>
    </row>
    <row r="67" spans="1:3" x14ac:dyDescent="0.25">
      <c r="A67" t="s">
        <v>6</v>
      </c>
      <c r="B67" t="s">
        <v>392</v>
      </c>
      <c r="C67" s="2">
        <v>135223670.46000001</v>
      </c>
    </row>
    <row r="68" spans="1:3" x14ac:dyDescent="0.25">
      <c r="A68" t="s">
        <v>6</v>
      </c>
      <c r="B68" t="s">
        <v>393</v>
      </c>
      <c r="C68" s="2">
        <v>116291152.72</v>
      </c>
    </row>
    <row r="69" spans="1:3" x14ac:dyDescent="0.25">
      <c r="A69" t="s">
        <v>6</v>
      </c>
      <c r="B69" t="s">
        <v>394</v>
      </c>
      <c r="C69" s="2">
        <v>17997168.23</v>
      </c>
    </row>
    <row r="70" spans="1:3" x14ac:dyDescent="0.25">
      <c r="A70" t="s">
        <v>6</v>
      </c>
      <c r="B70" t="s">
        <v>395</v>
      </c>
      <c r="C70" s="2">
        <v>864305.22</v>
      </c>
    </row>
    <row r="71" spans="1:3" x14ac:dyDescent="0.25">
      <c r="A71" t="s">
        <v>6</v>
      </c>
      <c r="B71" t="s">
        <v>396</v>
      </c>
      <c r="C71" s="2">
        <v>71044.289999999994</v>
      </c>
    </row>
    <row r="72" spans="1:3" x14ac:dyDescent="0.25">
      <c r="A72" t="s">
        <v>6</v>
      </c>
      <c r="B72" t="s">
        <v>397</v>
      </c>
      <c r="C72" s="2">
        <v>2038372.25</v>
      </c>
    </row>
    <row r="73" spans="1:3" x14ac:dyDescent="0.25">
      <c r="A73" t="s">
        <v>6</v>
      </c>
      <c r="B73" t="s">
        <v>398</v>
      </c>
      <c r="C73" s="2">
        <v>624907.69999999995</v>
      </c>
    </row>
    <row r="74" spans="1:3" x14ac:dyDescent="0.25">
      <c r="A74" t="s">
        <v>6</v>
      </c>
      <c r="B74" t="s">
        <v>399</v>
      </c>
      <c r="C74" s="2">
        <v>1116780.44</v>
      </c>
    </row>
    <row r="75" spans="1:3" x14ac:dyDescent="0.25">
      <c r="A75" t="s">
        <v>6</v>
      </c>
      <c r="B75" t="s">
        <v>232</v>
      </c>
      <c r="C75" s="2">
        <v>48084.61</v>
      </c>
    </row>
    <row r="76" spans="1:3" x14ac:dyDescent="0.25">
      <c r="A76" t="s">
        <v>6</v>
      </c>
      <c r="B76" t="s">
        <v>400</v>
      </c>
      <c r="C76" s="2">
        <v>48084.61</v>
      </c>
    </row>
    <row r="77" spans="1:3" x14ac:dyDescent="0.25">
      <c r="A77" t="s">
        <v>6</v>
      </c>
      <c r="B77" t="s">
        <v>234</v>
      </c>
      <c r="C77" s="2">
        <v>90934776.140000001</v>
      </c>
    </row>
    <row r="78" spans="1:3" x14ac:dyDescent="0.25">
      <c r="A78" t="s">
        <v>6</v>
      </c>
      <c r="B78" t="s">
        <v>401</v>
      </c>
      <c r="C78" s="2">
        <v>90934776.140000001</v>
      </c>
    </row>
    <row r="79" spans="1:3" x14ac:dyDescent="0.25">
      <c r="A79" t="s">
        <v>6</v>
      </c>
      <c r="B79" t="s">
        <v>402</v>
      </c>
      <c r="C79" s="2">
        <v>90934776.140000001</v>
      </c>
    </row>
    <row r="80" spans="1:3" x14ac:dyDescent="0.25">
      <c r="A80" t="s">
        <v>6</v>
      </c>
      <c r="B80" t="s">
        <v>237</v>
      </c>
      <c r="C80" s="2">
        <v>1276101.72</v>
      </c>
    </row>
    <row r="81" spans="1:3" x14ac:dyDescent="0.25">
      <c r="A81" t="s">
        <v>6</v>
      </c>
      <c r="B81" t="s">
        <v>238</v>
      </c>
      <c r="C81" s="2">
        <v>860110.98</v>
      </c>
    </row>
    <row r="82" spans="1:3" x14ac:dyDescent="0.25">
      <c r="A82" t="s">
        <v>6</v>
      </c>
      <c r="B82" t="s">
        <v>306</v>
      </c>
      <c r="C82" s="2">
        <v>796562.97</v>
      </c>
    </row>
    <row r="83" spans="1:3" x14ac:dyDescent="0.25">
      <c r="A83" t="s">
        <v>6</v>
      </c>
      <c r="B83" t="s">
        <v>307</v>
      </c>
      <c r="C83" s="2">
        <v>63548.01</v>
      </c>
    </row>
    <row r="84" spans="1:3" x14ac:dyDescent="0.25">
      <c r="A84" t="s">
        <v>6</v>
      </c>
      <c r="B84" t="s">
        <v>239</v>
      </c>
      <c r="C84" s="2">
        <v>413530.74</v>
      </c>
    </row>
    <row r="85" spans="1:3" x14ac:dyDescent="0.25">
      <c r="A85" t="s">
        <v>6</v>
      </c>
      <c r="B85" t="s">
        <v>240</v>
      </c>
      <c r="C85" s="2">
        <v>39655</v>
      </c>
    </row>
    <row r="86" spans="1:3" x14ac:dyDescent="0.25">
      <c r="A86" t="s">
        <v>6</v>
      </c>
      <c r="B86" t="s">
        <v>308</v>
      </c>
      <c r="C86" s="2">
        <v>39655</v>
      </c>
    </row>
    <row r="87" spans="1:3" x14ac:dyDescent="0.25">
      <c r="A87" t="s">
        <v>6</v>
      </c>
      <c r="B87" t="s">
        <v>241</v>
      </c>
      <c r="C87" s="2">
        <v>373875.74</v>
      </c>
    </row>
    <row r="88" spans="1:3" x14ac:dyDescent="0.25">
      <c r="A88" t="s">
        <v>6</v>
      </c>
      <c r="B88" t="s">
        <v>242</v>
      </c>
      <c r="C88" s="2">
        <v>373875.74</v>
      </c>
    </row>
    <row r="89" spans="1:3" x14ac:dyDescent="0.25">
      <c r="A89" t="s">
        <v>6</v>
      </c>
      <c r="B89" t="s">
        <v>243</v>
      </c>
      <c r="C89" s="2">
        <v>2460</v>
      </c>
    </row>
    <row r="90" spans="1:3" x14ac:dyDescent="0.25">
      <c r="A90" t="s">
        <v>6</v>
      </c>
      <c r="B90" t="s">
        <v>244</v>
      </c>
      <c r="C90" s="2">
        <v>2460</v>
      </c>
    </row>
    <row r="91" spans="1:3" x14ac:dyDescent="0.25">
      <c r="A91" t="s">
        <v>6</v>
      </c>
      <c r="B91" t="s">
        <v>245</v>
      </c>
      <c r="C91" s="2">
        <v>2460</v>
      </c>
    </row>
    <row r="92" spans="1:3" x14ac:dyDescent="0.25">
      <c r="A92" t="s">
        <v>6</v>
      </c>
      <c r="B92" t="s">
        <v>246</v>
      </c>
      <c r="C92" s="2">
        <v>21302991.780000001</v>
      </c>
    </row>
    <row r="93" spans="1:3" x14ac:dyDescent="0.25">
      <c r="A93" t="s">
        <v>6</v>
      </c>
      <c r="B93" t="s">
        <v>247</v>
      </c>
      <c r="C93" s="2">
        <v>18137115.309999999</v>
      </c>
    </row>
    <row r="94" spans="1:3" x14ac:dyDescent="0.25">
      <c r="A94" t="s">
        <v>6</v>
      </c>
      <c r="B94" t="s">
        <v>248</v>
      </c>
      <c r="C94" s="2">
        <v>18137115.309999999</v>
      </c>
    </row>
    <row r="95" spans="1:3" x14ac:dyDescent="0.25">
      <c r="A95" t="s">
        <v>6</v>
      </c>
      <c r="B95" t="s">
        <v>403</v>
      </c>
      <c r="C95" s="2">
        <v>18137115.309999999</v>
      </c>
    </row>
    <row r="96" spans="1:3" x14ac:dyDescent="0.25">
      <c r="A96" t="s">
        <v>6</v>
      </c>
      <c r="B96" t="s">
        <v>349</v>
      </c>
      <c r="C96" s="2">
        <v>18137115.309999999</v>
      </c>
    </row>
    <row r="97" spans="1:3" x14ac:dyDescent="0.25">
      <c r="A97" t="s">
        <v>6</v>
      </c>
      <c r="B97" t="s">
        <v>350</v>
      </c>
      <c r="C97" s="2">
        <v>18137115.309999999</v>
      </c>
    </row>
    <row r="98" spans="1:3" x14ac:dyDescent="0.25">
      <c r="A98" t="s">
        <v>6</v>
      </c>
      <c r="B98" t="s">
        <v>253</v>
      </c>
      <c r="C98" s="2">
        <v>3165876.47</v>
      </c>
    </row>
    <row r="99" spans="1:3" x14ac:dyDescent="0.25">
      <c r="A99" t="s">
        <v>6</v>
      </c>
      <c r="B99" t="s">
        <v>254</v>
      </c>
      <c r="C99" s="2">
        <v>3165876.47</v>
      </c>
    </row>
    <row r="100" spans="1:3" x14ac:dyDescent="0.25">
      <c r="A100" t="s">
        <v>6</v>
      </c>
      <c r="B100" t="s">
        <v>404</v>
      </c>
      <c r="C100" s="2">
        <v>3165876.47</v>
      </c>
    </row>
    <row r="101" spans="1:3" x14ac:dyDescent="0.25">
      <c r="A101" t="s">
        <v>6</v>
      </c>
      <c r="B101" t="s">
        <v>405</v>
      </c>
      <c r="C101" s="2">
        <v>600560</v>
      </c>
    </row>
    <row r="102" spans="1:3" x14ac:dyDescent="0.25">
      <c r="A102" t="s">
        <v>6</v>
      </c>
      <c r="B102" t="s">
        <v>313</v>
      </c>
      <c r="C102" s="2">
        <v>600560</v>
      </c>
    </row>
    <row r="103" spans="1:3" x14ac:dyDescent="0.25">
      <c r="A103" t="s">
        <v>6</v>
      </c>
      <c r="B103" t="s">
        <v>406</v>
      </c>
      <c r="C103" s="2">
        <v>2565316.4700000002</v>
      </c>
    </row>
    <row r="104" spans="1:3" x14ac:dyDescent="0.25">
      <c r="A104" t="s">
        <v>6</v>
      </c>
      <c r="B104" t="s">
        <v>314</v>
      </c>
      <c r="C104" s="2">
        <v>213000</v>
      </c>
    </row>
    <row r="105" spans="1:3" x14ac:dyDescent="0.25">
      <c r="A105" t="s">
        <v>6</v>
      </c>
      <c r="B105" t="s">
        <v>315</v>
      </c>
      <c r="C105" s="2">
        <v>218774.11</v>
      </c>
    </row>
    <row r="106" spans="1:3" x14ac:dyDescent="0.25">
      <c r="A106" t="s">
        <v>6</v>
      </c>
      <c r="B106" t="s">
        <v>316</v>
      </c>
      <c r="C106" s="2">
        <v>1900739.16</v>
      </c>
    </row>
    <row r="107" spans="1:3" x14ac:dyDescent="0.25">
      <c r="A107" t="s">
        <v>6</v>
      </c>
      <c r="B107" t="s">
        <v>317</v>
      </c>
      <c r="C107" s="2">
        <v>232803.20000000001</v>
      </c>
    </row>
    <row r="108" spans="1:3" x14ac:dyDescent="0.25">
      <c r="A108" t="s">
        <v>6</v>
      </c>
      <c r="B108" t="s">
        <v>318</v>
      </c>
      <c r="C108" s="2">
        <v>659135653.29999995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6.5703125" customWidth="1"/>
    <col min="2" max="2" width="102.5703125" customWidth="1"/>
    <col min="3" max="3" width="19.5703125" bestFit="1" customWidth="1"/>
    <col min="4" max="4" width="13" customWidth="1"/>
    <col min="5" max="5" width="17.42578125" bestFit="1" customWidth="1"/>
    <col min="6" max="6" width="19.5703125" bestFit="1" customWidth="1"/>
    <col min="7" max="7" width="16.85546875" bestFit="1" customWidth="1"/>
    <col min="8" max="10" width="13" customWidth="1"/>
  </cols>
  <sheetData>
    <row r="1" spans="1:6" x14ac:dyDescent="0.25">
      <c r="A1" t="s">
        <v>361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85</v>
      </c>
      <c r="B5" t="s">
        <v>290</v>
      </c>
      <c r="C5" s="2">
        <v>1712919411.1400001</v>
      </c>
      <c r="E5" s="2" t="s">
        <v>7</v>
      </c>
      <c r="F5" s="2">
        <f>C5</f>
        <v>1712919411.1400001</v>
      </c>
    </row>
    <row r="6" spans="1:6" x14ac:dyDescent="0.25">
      <c r="A6" t="s">
        <v>85</v>
      </c>
      <c r="B6" t="s">
        <v>174</v>
      </c>
      <c r="C6" s="2">
        <v>1647324176.4100001</v>
      </c>
      <c r="E6" s="2" t="s">
        <v>9</v>
      </c>
      <c r="F6" s="2">
        <f>C7</f>
        <v>479842184.43000001</v>
      </c>
    </row>
    <row r="7" spans="1:6" x14ac:dyDescent="0.25">
      <c r="A7" t="s">
        <v>85</v>
      </c>
      <c r="B7" t="s">
        <v>175</v>
      </c>
      <c r="C7" s="2">
        <v>479842184.43000001</v>
      </c>
      <c r="E7" s="2" t="s">
        <v>11</v>
      </c>
      <c r="F7" s="2">
        <f>C15</f>
        <v>174498476.13</v>
      </c>
    </row>
    <row r="8" spans="1:6" x14ac:dyDescent="0.25">
      <c r="A8" t="s">
        <v>85</v>
      </c>
      <c r="B8" t="s">
        <v>176</v>
      </c>
      <c r="C8" s="2">
        <v>439928036.12</v>
      </c>
      <c r="E8" s="2" t="s">
        <v>13</v>
      </c>
      <c r="F8" s="2">
        <f>C16</f>
        <v>56312475.119999997</v>
      </c>
    </row>
    <row r="9" spans="1:6" x14ac:dyDescent="0.25">
      <c r="A9" t="s">
        <v>85</v>
      </c>
      <c r="B9" t="s">
        <v>177</v>
      </c>
      <c r="C9" s="2">
        <v>50886368.530000001</v>
      </c>
      <c r="E9" s="2" t="s">
        <v>15</v>
      </c>
      <c r="F9" s="2">
        <f>C18</f>
        <v>158230716.34</v>
      </c>
    </row>
    <row r="10" spans="1:6" x14ac:dyDescent="0.25">
      <c r="A10" t="s">
        <v>85</v>
      </c>
      <c r="B10" t="s">
        <v>178</v>
      </c>
      <c r="C10" s="2">
        <v>50886368.530000001</v>
      </c>
      <c r="E10" s="2" t="s">
        <v>121</v>
      </c>
      <c r="F10" s="2">
        <f>C51</f>
        <v>1020947237.98</v>
      </c>
    </row>
    <row r="11" spans="1:6" x14ac:dyDescent="0.25">
      <c r="A11" t="s">
        <v>85</v>
      </c>
      <c r="B11" t="s">
        <v>179</v>
      </c>
      <c r="C11" s="2">
        <v>48469300.670000002</v>
      </c>
      <c r="E11" s="2" t="s">
        <v>19</v>
      </c>
      <c r="F11" s="2">
        <f>C55</f>
        <v>122032357.88</v>
      </c>
    </row>
    <row r="12" spans="1:6" x14ac:dyDescent="0.25">
      <c r="A12" t="s">
        <v>85</v>
      </c>
      <c r="B12" t="s">
        <v>180</v>
      </c>
      <c r="C12" s="2">
        <v>2417067.86</v>
      </c>
      <c r="E12" s="2" t="s">
        <v>21</v>
      </c>
      <c r="F12" s="2">
        <f>C81</f>
        <v>578299062.02999997</v>
      </c>
    </row>
    <row r="13" spans="1:6" x14ac:dyDescent="0.25">
      <c r="A13" t="s">
        <v>85</v>
      </c>
      <c r="B13" t="s">
        <v>362</v>
      </c>
      <c r="C13" s="2">
        <v>389041667.58999997</v>
      </c>
      <c r="E13" s="2" t="s">
        <v>23</v>
      </c>
      <c r="F13" s="2">
        <f>SUM(C75,C94)</f>
        <v>167511995.06999999</v>
      </c>
    </row>
    <row r="14" spans="1:6" x14ac:dyDescent="0.25">
      <c r="A14" t="s">
        <v>85</v>
      </c>
      <c r="B14" t="s">
        <v>363</v>
      </c>
      <c r="C14" s="2">
        <v>230810951.25</v>
      </c>
      <c r="E14" s="2" t="s">
        <v>25</v>
      </c>
      <c r="F14" s="2">
        <f>C111</f>
        <v>65595234.729999997</v>
      </c>
    </row>
    <row r="15" spans="1:6" x14ac:dyDescent="0.25">
      <c r="A15" t="s">
        <v>85</v>
      </c>
      <c r="B15" t="s">
        <v>364</v>
      </c>
      <c r="C15" s="2">
        <v>174498476.13</v>
      </c>
    </row>
    <row r="16" spans="1:6" x14ac:dyDescent="0.25">
      <c r="A16" t="s">
        <v>85</v>
      </c>
      <c r="B16" t="s">
        <v>365</v>
      </c>
      <c r="C16" s="2">
        <v>56312475.119999997</v>
      </c>
    </row>
    <row r="17" spans="1:3" x14ac:dyDescent="0.25">
      <c r="A17" t="s">
        <v>85</v>
      </c>
      <c r="B17" t="s">
        <v>366</v>
      </c>
      <c r="C17" s="2">
        <v>158230716.34</v>
      </c>
    </row>
    <row r="18" spans="1:3" x14ac:dyDescent="0.25">
      <c r="A18" t="s">
        <v>85</v>
      </c>
      <c r="B18" t="s">
        <v>367</v>
      </c>
      <c r="C18" s="2">
        <v>158230716.34</v>
      </c>
    </row>
    <row r="19" spans="1:3" x14ac:dyDescent="0.25">
      <c r="A19" t="s">
        <v>85</v>
      </c>
      <c r="B19" t="s">
        <v>187</v>
      </c>
      <c r="C19" s="2">
        <v>39914148.310000002</v>
      </c>
    </row>
    <row r="20" spans="1:3" x14ac:dyDescent="0.25">
      <c r="A20" t="s">
        <v>85</v>
      </c>
      <c r="B20" t="s">
        <v>292</v>
      </c>
      <c r="C20" s="2">
        <v>39914148.310000002</v>
      </c>
    </row>
    <row r="21" spans="1:3" x14ac:dyDescent="0.25">
      <c r="A21" t="s">
        <v>85</v>
      </c>
      <c r="B21" t="s">
        <v>293</v>
      </c>
      <c r="C21" s="2">
        <v>15521065.279999999</v>
      </c>
    </row>
    <row r="22" spans="1:3" x14ac:dyDescent="0.25">
      <c r="A22" t="s">
        <v>85</v>
      </c>
      <c r="B22" t="s">
        <v>319</v>
      </c>
      <c r="C22" s="2">
        <v>207367.79</v>
      </c>
    </row>
    <row r="23" spans="1:3" x14ac:dyDescent="0.25">
      <c r="A23" t="s">
        <v>85</v>
      </c>
      <c r="B23" t="s">
        <v>294</v>
      </c>
      <c r="C23" s="2">
        <v>15313697.49</v>
      </c>
    </row>
    <row r="24" spans="1:3" x14ac:dyDescent="0.25">
      <c r="A24" t="s">
        <v>85</v>
      </c>
      <c r="B24" t="s">
        <v>407</v>
      </c>
      <c r="C24" s="2">
        <v>24393083.030000001</v>
      </c>
    </row>
    <row r="25" spans="1:3" x14ac:dyDescent="0.25">
      <c r="A25" t="s">
        <v>85</v>
      </c>
      <c r="B25" t="s">
        <v>408</v>
      </c>
      <c r="C25" s="2">
        <v>24393083.030000001</v>
      </c>
    </row>
    <row r="26" spans="1:3" x14ac:dyDescent="0.25">
      <c r="A26" t="s">
        <v>85</v>
      </c>
      <c r="B26" t="s">
        <v>192</v>
      </c>
      <c r="C26" s="2">
        <v>73352267.379999995</v>
      </c>
    </row>
    <row r="27" spans="1:3" x14ac:dyDescent="0.25">
      <c r="A27" t="s">
        <v>85</v>
      </c>
      <c r="B27" t="s">
        <v>259</v>
      </c>
      <c r="C27" s="2">
        <v>48716984.219999999</v>
      </c>
    </row>
    <row r="28" spans="1:3" x14ac:dyDescent="0.25">
      <c r="A28" t="s">
        <v>85</v>
      </c>
      <c r="B28" t="s">
        <v>409</v>
      </c>
      <c r="C28" s="2">
        <v>48716984.219999999</v>
      </c>
    </row>
    <row r="29" spans="1:3" x14ac:dyDescent="0.25">
      <c r="A29" t="s">
        <v>85</v>
      </c>
      <c r="B29" t="s">
        <v>321</v>
      </c>
      <c r="C29" s="2">
        <v>48466508.729999997</v>
      </c>
    </row>
    <row r="30" spans="1:3" x14ac:dyDescent="0.25">
      <c r="A30" t="s">
        <v>85</v>
      </c>
      <c r="B30" t="s">
        <v>322</v>
      </c>
      <c r="C30" s="2">
        <v>37886255.789999999</v>
      </c>
    </row>
    <row r="31" spans="1:3" x14ac:dyDescent="0.25">
      <c r="A31" t="s">
        <v>85</v>
      </c>
      <c r="B31" t="s">
        <v>323</v>
      </c>
      <c r="C31" s="2">
        <v>9614448.6500000004</v>
      </c>
    </row>
    <row r="32" spans="1:3" x14ac:dyDescent="0.25">
      <c r="A32" t="s">
        <v>85</v>
      </c>
      <c r="B32" t="s">
        <v>324</v>
      </c>
      <c r="C32" s="2">
        <v>920862.21</v>
      </c>
    </row>
    <row r="33" spans="1:3" x14ac:dyDescent="0.25">
      <c r="A33" t="s">
        <v>85</v>
      </c>
      <c r="B33" t="s">
        <v>325</v>
      </c>
      <c r="C33" s="2">
        <v>44942.080000000002</v>
      </c>
    </row>
    <row r="34" spans="1:3" x14ac:dyDescent="0.25">
      <c r="A34" t="s">
        <v>85</v>
      </c>
      <c r="B34" t="s">
        <v>326</v>
      </c>
      <c r="C34" s="2">
        <v>250475.49</v>
      </c>
    </row>
    <row r="35" spans="1:3" x14ac:dyDescent="0.25">
      <c r="A35" t="s">
        <v>85</v>
      </c>
      <c r="B35" t="s">
        <v>327</v>
      </c>
      <c r="C35" s="2">
        <v>250475.49</v>
      </c>
    </row>
    <row r="36" spans="1:3" x14ac:dyDescent="0.25">
      <c r="A36" t="s">
        <v>85</v>
      </c>
      <c r="B36" t="s">
        <v>193</v>
      </c>
      <c r="C36" s="2">
        <v>24635283.16</v>
      </c>
    </row>
    <row r="37" spans="1:3" x14ac:dyDescent="0.25">
      <c r="A37" t="s">
        <v>85</v>
      </c>
      <c r="B37" t="s">
        <v>194</v>
      </c>
      <c r="C37" s="2">
        <v>52419488.759999998</v>
      </c>
    </row>
    <row r="38" spans="1:3" x14ac:dyDescent="0.25">
      <c r="A38" t="s">
        <v>85</v>
      </c>
      <c r="B38" t="s">
        <v>195</v>
      </c>
      <c r="C38" s="2">
        <v>32664466.350000001</v>
      </c>
    </row>
    <row r="39" spans="1:3" x14ac:dyDescent="0.25">
      <c r="A39" t="s">
        <v>85</v>
      </c>
      <c r="B39" t="s">
        <v>196</v>
      </c>
      <c r="C39" s="2">
        <v>32466621.940000001</v>
      </c>
    </row>
    <row r="40" spans="1:3" x14ac:dyDescent="0.25">
      <c r="A40" t="s">
        <v>85</v>
      </c>
      <c r="B40" t="s">
        <v>197</v>
      </c>
      <c r="C40" s="2">
        <v>6697366.3799999999</v>
      </c>
    </row>
    <row r="41" spans="1:3" x14ac:dyDescent="0.25">
      <c r="A41" t="s">
        <v>85</v>
      </c>
      <c r="B41" t="s">
        <v>266</v>
      </c>
      <c r="C41" s="2">
        <v>25769255.559999999</v>
      </c>
    </row>
    <row r="42" spans="1:3" x14ac:dyDescent="0.25">
      <c r="A42" t="s">
        <v>85</v>
      </c>
      <c r="B42" t="s">
        <v>267</v>
      </c>
      <c r="C42" s="2">
        <v>197844.41</v>
      </c>
    </row>
    <row r="43" spans="1:3" x14ac:dyDescent="0.25">
      <c r="A43" t="s">
        <v>85</v>
      </c>
      <c r="B43" t="s">
        <v>199</v>
      </c>
      <c r="C43" s="2">
        <v>19755022.41</v>
      </c>
    </row>
    <row r="44" spans="1:3" x14ac:dyDescent="0.25">
      <c r="A44" t="s">
        <v>85</v>
      </c>
      <c r="B44" t="s">
        <v>369</v>
      </c>
      <c r="C44" s="2">
        <v>19755022.41</v>
      </c>
    </row>
    <row r="45" spans="1:3" x14ac:dyDescent="0.25">
      <c r="A45" t="s">
        <v>85</v>
      </c>
      <c r="B45" t="s">
        <v>370</v>
      </c>
      <c r="C45" s="2">
        <v>19755022.41</v>
      </c>
    </row>
    <row r="46" spans="1:3" x14ac:dyDescent="0.25">
      <c r="A46" t="s">
        <v>85</v>
      </c>
      <c r="B46" t="s">
        <v>268</v>
      </c>
      <c r="C46" s="2">
        <v>7359358.4199999999</v>
      </c>
    </row>
    <row r="47" spans="1:3" x14ac:dyDescent="0.25">
      <c r="A47" t="s">
        <v>85</v>
      </c>
      <c r="B47" t="s">
        <v>269</v>
      </c>
      <c r="C47" s="2">
        <v>4527190.0199999996</v>
      </c>
    </row>
    <row r="48" spans="1:3" x14ac:dyDescent="0.25">
      <c r="A48" t="s">
        <v>85</v>
      </c>
      <c r="B48" t="s">
        <v>270</v>
      </c>
      <c r="C48" s="2">
        <v>4527190.0199999996</v>
      </c>
    </row>
    <row r="49" spans="1:7" x14ac:dyDescent="0.25">
      <c r="A49" t="s">
        <v>85</v>
      </c>
      <c r="B49" t="s">
        <v>271</v>
      </c>
      <c r="C49" s="2">
        <v>2832168.4</v>
      </c>
    </row>
    <row r="50" spans="1:7" x14ac:dyDescent="0.25">
      <c r="A50" t="s">
        <v>85</v>
      </c>
      <c r="B50" t="s">
        <v>272</v>
      </c>
      <c r="C50" s="2">
        <v>2832168.4</v>
      </c>
    </row>
    <row r="51" spans="1:7" x14ac:dyDescent="0.25">
      <c r="A51" t="s">
        <v>85</v>
      </c>
      <c r="B51" t="s">
        <v>200</v>
      </c>
      <c r="C51" s="2">
        <v>1020947237.98</v>
      </c>
    </row>
    <row r="52" spans="1:7" x14ac:dyDescent="0.25">
      <c r="A52" t="s">
        <v>85</v>
      </c>
      <c r="B52" t="s">
        <v>201</v>
      </c>
      <c r="C52" s="2">
        <v>285571291.69</v>
      </c>
    </row>
    <row r="53" spans="1:7" x14ac:dyDescent="0.25">
      <c r="A53" t="s">
        <v>85</v>
      </c>
      <c r="B53" t="s">
        <v>371</v>
      </c>
      <c r="C53" s="2">
        <v>285571291.69</v>
      </c>
    </row>
    <row r="54" spans="1:7" x14ac:dyDescent="0.25">
      <c r="A54" t="s">
        <v>85</v>
      </c>
      <c r="B54" t="s">
        <v>372</v>
      </c>
      <c r="C54" s="2">
        <v>132201614.52</v>
      </c>
    </row>
    <row r="55" spans="1:7" x14ac:dyDescent="0.25">
      <c r="A55" t="s">
        <v>85</v>
      </c>
      <c r="B55" t="s">
        <v>373</v>
      </c>
      <c r="C55" s="2">
        <v>122032357.88</v>
      </c>
    </row>
    <row r="56" spans="1:7" x14ac:dyDescent="0.25">
      <c r="A56" t="s">
        <v>85</v>
      </c>
      <c r="B56" t="s">
        <v>374</v>
      </c>
      <c r="C56" s="2">
        <v>5348827.24</v>
      </c>
    </row>
    <row r="57" spans="1:7" x14ac:dyDescent="0.25">
      <c r="A57" t="s">
        <v>85</v>
      </c>
      <c r="B57" t="s">
        <v>375</v>
      </c>
      <c r="C57" s="2">
        <v>4724873.42</v>
      </c>
    </row>
    <row r="58" spans="1:7" x14ac:dyDescent="0.25">
      <c r="A58" t="s">
        <v>85</v>
      </c>
      <c r="B58" t="s">
        <v>376</v>
      </c>
      <c r="C58" s="2">
        <v>95555.98</v>
      </c>
    </row>
    <row r="59" spans="1:7" x14ac:dyDescent="0.25">
      <c r="A59" t="s">
        <v>85</v>
      </c>
      <c r="B59" t="s">
        <v>377</v>
      </c>
      <c r="C59" s="2">
        <v>7087772.29</v>
      </c>
    </row>
    <row r="60" spans="1:7" x14ac:dyDescent="0.25">
      <c r="A60" t="s">
        <v>85</v>
      </c>
      <c r="B60" t="s">
        <v>378</v>
      </c>
      <c r="C60" s="2">
        <v>48384.32</v>
      </c>
    </row>
    <row r="61" spans="1:7" x14ac:dyDescent="0.25">
      <c r="A61" t="s">
        <v>85</v>
      </c>
      <c r="B61" t="s">
        <v>410</v>
      </c>
      <c r="C61" s="2">
        <v>3028492.32</v>
      </c>
    </row>
    <row r="62" spans="1:7" x14ac:dyDescent="0.25">
      <c r="A62" t="s">
        <v>85</v>
      </c>
      <c r="B62" t="s">
        <v>411</v>
      </c>
      <c r="C62" s="2">
        <v>1651946.2</v>
      </c>
    </row>
    <row r="63" spans="1:7" x14ac:dyDescent="0.25">
      <c r="A63" t="s">
        <v>85</v>
      </c>
      <c r="B63" t="s">
        <v>379</v>
      </c>
      <c r="C63" s="2">
        <v>2358949.4500000002</v>
      </c>
    </row>
    <row r="64" spans="1:7" x14ac:dyDescent="0.25">
      <c r="A64" t="s">
        <v>85</v>
      </c>
      <c r="B64" t="s">
        <v>380</v>
      </c>
      <c r="C64" s="2">
        <v>92645017.739999995</v>
      </c>
      <c r="G64" s="1"/>
    </row>
    <row r="65" spans="1:7" x14ac:dyDescent="0.25">
      <c r="A65" t="s">
        <v>85</v>
      </c>
      <c r="B65" t="s">
        <v>381</v>
      </c>
      <c r="C65" s="2">
        <v>48077836.310000002</v>
      </c>
      <c r="G65" s="1"/>
    </row>
    <row r="66" spans="1:7" x14ac:dyDescent="0.25">
      <c r="A66" t="s">
        <v>85</v>
      </c>
      <c r="B66" t="s">
        <v>382</v>
      </c>
      <c r="C66" s="2">
        <v>36956323.359999999</v>
      </c>
    </row>
    <row r="67" spans="1:7" x14ac:dyDescent="0.25">
      <c r="A67" t="s">
        <v>85</v>
      </c>
      <c r="B67" t="s">
        <v>300</v>
      </c>
      <c r="C67" s="2">
        <v>5796022.6299999999</v>
      </c>
    </row>
    <row r="68" spans="1:7" x14ac:dyDescent="0.25">
      <c r="A68" t="s">
        <v>85</v>
      </c>
      <c r="B68" t="s">
        <v>301</v>
      </c>
      <c r="C68" s="2">
        <v>1779835.44</v>
      </c>
    </row>
    <row r="69" spans="1:7" x14ac:dyDescent="0.25">
      <c r="A69" t="s">
        <v>85</v>
      </c>
      <c r="B69" t="s">
        <v>302</v>
      </c>
      <c r="C69" s="2">
        <v>35000</v>
      </c>
    </row>
    <row r="70" spans="1:7" x14ac:dyDescent="0.25">
      <c r="A70" t="s">
        <v>85</v>
      </c>
      <c r="B70" t="s">
        <v>383</v>
      </c>
      <c r="C70" s="2">
        <v>7909425.71</v>
      </c>
    </row>
    <row r="71" spans="1:7" x14ac:dyDescent="0.25">
      <c r="A71" t="s">
        <v>85</v>
      </c>
      <c r="B71" t="s">
        <v>384</v>
      </c>
      <c r="C71" s="2">
        <v>4060980.79</v>
      </c>
    </row>
    <row r="72" spans="1:7" x14ac:dyDescent="0.25">
      <c r="A72" t="s">
        <v>85</v>
      </c>
      <c r="B72" t="s">
        <v>385</v>
      </c>
      <c r="C72" s="2">
        <v>9740</v>
      </c>
    </row>
    <row r="73" spans="1:7" x14ac:dyDescent="0.25">
      <c r="A73" t="s">
        <v>85</v>
      </c>
      <c r="B73" t="s">
        <v>386</v>
      </c>
      <c r="C73" s="2">
        <v>3550399.6</v>
      </c>
    </row>
    <row r="74" spans="1:7" x14ac:dyDescent="0.25">
      <c r="A74" t="s">
        <v>85</v>
      </c>
      <c r="B74" t="s">
        <v>387</v>
      </c>
      <c r="C74" s="2">
        <v>288305.32</v>
      </c>
    </row>
    <row r="75" spans="1:7" x14ac:dyDescent="0.25">
      <c r="A75" t="s">
        <v>85</v>
      </c>
      <c r="B75" t="s">
        <v>303</v>
      </c>
      <c r="C75" s="2">
        <v>41172363.75</v>
      </c>
    </row>
    <row r="76" spans="1:7" x14ac:dyDescent="0.25">
      <c r="A76" t="s">
        <v>85</v>
      </c>
      <c r="B76" t="s">
        <v>304</v>
      </c>
      <c r="C76" s="2">
        <v>1560277.84</v>
      </c>
    </row>
    <row r="77" spans="1:7" x14ac:dyDescent="0.25">
      <c r="A77" t="s">
        <v>85</v>
      </c>
      <c r="B77" t="s">
        <v>390</v>
      </c>
      <c r="C77" s="2">
        <v>2994819.84</v>
      </c>
    </row>
    <row r="78" spans="1:7" x14ac:dyDescent="0.25">
      <c r="A78" t="s">
        <v>85</v>
      </c>
      <c r="B78" t="s">
        <v>223</v>
      </c>
      <c r="C78" s="2">
        <v>608024273.38</v>
      </c>
    </row>
    <row r="79" spans="1:7" x14ac:dyDescent="0.25">
      <c r="A79" t="s">
        <v>85</v>
      </c>
      <c r="B79" t="s">
        <v>391</v>
      </c>
      <c r="C79" s="2">
        <v>608024273.38</v>
      </c>
    </row>
    <row r="80" spans="1:7" x14ac:dyDescent="0.25">
      <c r="A80" t="s">
        <v>85</v>
      </c>
      <c r="B80" t="s">
        <v>392</v>
      </c>
      <c r="C80" s="2">
        <v>603989358.73000002</v>
      </c>
    </row>
    <row r="81" spans="1:3" x14ac:dyDescent="0.25">
      <c r="A81" t="s">
        <v>85</v>
      </c>
      <c r="B81" t="s">
        <v>393</v>
      </c>
      <c r="C81" s="2">
        <v>578299062.02999997</v>
      </c>
    </row>
    <row r="82" spans="1:3" x14ac:dyDescent="0.25">
      <c r="A82" t="s">
        <v>85</v>
      </c>
      <c r="B82" t="s">
        <v>394</v>
      </c>
      <c r="C82" s="2">
        <v>20190393.920000002</v>
      </c>
    </row>
    <row r="83" spans="1:3" x14ac:dyDescent="0.25">
      <c r="A83" t="s">
        <v>85</v>
      </c>
      <c r="B83" t="s">
        <v>395</v>
      </c>
      <c r="C83" s="2">
        <v>5369854.5099999998</v>
      </c>
    </row>
    <row r="84" spans="1:3" x14ac:dyDescent="0.25">
      <c r="A84" t="s">
        <v>85</v>
      </c>
      <c r="B84" t="s">
        <v>396</v>
      </c>
      <c r="C84" s="2">
        <v>106012.55</v>
      </c>
    </row>
    <row r="85" spans="1:3" x14ac:dyDescent="0.25">
      <c r="A85" t="s">
        <v>85</v>
      </c>
      <c r="B85" t="s">
        <v>412</v>
      </c>
      <c r="C85" s="2">
        <v>24035.72</v>
      </c>
    </row>
    <row r="86" spans="1:3" x14ac:dyDescent="0.25">
      <c r="A86" t="s">
        <v>85</v>
      </c>
      <c r="B86" t="s">
        <v>397</v>
      </c>
      <c r="C86" s="2">
        <v>2671884.65</v>
      </c>
    </row>
    <row r="87" spans="1:3" x14ac:dyDescent="0.25">
      <c r="A87" t="s">
        <v>85</v>
      </c>
      <c r="B87" t="s">
        <v>398</v>
      </c>
      <c r="C87" s="2">
        <v>721831</v>
      </c>
    </row>
    <row r="88" spans="1:3" x14ac:dyDescent="0.25">
      <c r="A88" t="s">
        <v>85</v>
      </c>
      <c r="B88" t="s">
        <v>413</v>
      </c>
      <c r="C88" s="2">
        <v>641199</v>
      </c>
    </row>
    <row r="89" spans="1:3" x14ac:dyDescent="0.25">
      <c r="A89" t="s">
        <v>85</v>
      </c>
      <c r="B89" t="s">
        <v>414</v>
      </c>
      <c r="C89" s="2">
        <v>641199</v>
      </c>
    </row>
    <row r="90" spans="1:3" x14ac:dyDescent="0.25">
      <c r="A90" t="s">
        <v>85</v>
      </c>
      <c r="B90" t="s">
        <v>232</v>
      </c>
      <c r="C90" s="2">
        <v>971600</v>
      </c>
    </row>
    <row r="91" spans="1:3" x14ac:dyDescent="0.25">
      <c r="A91" t="s">
        <v>85</v>
      </c>
      <c r="B91" t="s">
        <v>400</v>
      </c>
      <c r="C91" s="2">
        <v>971600</v>
      </c>
    </row>
    <row r="92" spans="1:3" x14ac:dyDescent="0.25">
      <c r="A92" t="s">
        <v>85</v>
      </c>
      <c r="B92" t="s">
        <v>234</v>
      </c>
      <c r="C92" s="2">
        <v>126339631.31999999</v>
      </c>
    </row>
    <row r="93" spans="1:3" x14ac:dyDescent="0.25">
      <c r="A93" t="s">
        <v>85</v>
      </c>
      <c r="B93" t="s">
        <v>401</v>
      </c>
      <c r="C93" s="2">
        <v>126339631.31999999</v>
      </c>
    </row>
    <row r="94" spans="1:3" x14ac:dyDescent="0.25">
      <c r="A94" t="s">
        <v>85</v>
      </c>
      <c r="B94" t="s">
        <v>402</v>
      </c>
      <c r="C94" s="2">
        <v>126339631.31999999</v>
      </c>
    </row>
    <row r="95" spans="1:3" x14ac:dyDescent="0.25">
      <c r="A95" t="s">
        <v>85</v>
      </c>
      <c r="B95" t="s">
        <v>359</v>
      </c>
      <c r="C95" s="2">
        <v>28984.06</v>
      </c>
    </row>
    <row r="96" spans="1:3" x14ac:dyDescent="0.25">
      <c r="A96" t="s">
        <v>85</v>
      </c>
      <c r="B96" t="s">
        <v>360</v>
      </c>
      <c r="C96" s="2">
        <v>28984.06</v>
      </c>
    </row>
    <row r="97" spans="1:3" x14ac:dyDescent="0.25">
      <c r="A97" t="s">
        <v>85</v>
      </c>
      <c r="B97" t="s">
        <v>415</v>
      </c>
      <c r="C97" s="2">
        <v>11457.53</v>
      </c>
    </row>
    <row r="98" spans="1:3" x14ac:dyDescent="0.25">
      <c r="A98" t="s">
        <v>85</v>
      </c>
      <c r="B98" t="s">
        <v>237</v>
      </c>
      <c r="C98" s="2">
        <v>13403639.439999999</v>
      </c>
    </row>
    <row r="99" spans="1:3" x14ac:dyDescent="0.25">
      <c r="A99" t="s">
        <v>85</v>
      </c>
      <c r="B99" t="s">
        <v>238</v>
      </c>
      <c r="C99" s="2">
        <v>1067020.44</v>
      </c>
    </row>
    <row r="100" spans="1:3" x14ac:dyDescent="0.25">
      <c r="A100" t="s">
        <v>85</v>
      </c>
      <c r="B100" t="s">
        <v>306</v>
      </c>
      <c r="C100" s="2">
        <v>1024089.66</v>
      </c>
    </row>
    <row r="101" spans="1:3" x14ac:dyDescent="0.25">
      <c r="A101" t="s">
        <v>85</v>
      </c>
      <c r="B101" t="s">
        <v>307</v>
      </c>
      <c r="C101" s="2">
        <v>42930.78</v>
      </c>
    </row>
    <row r="102" spans="1:3" x14ac:dyDescent="0.25">
      <c r="A102" t="s">
        <v>85</v>
      </c>
      <c r="B102" t="s">
        <v>239</v>
      </c>
      <c r="C102" s="2">
        <v>949053.28</v>
      </c>
    </row>
    <row r="103" spans="1:3" x14ac:dyDescent="0.25">
      <c r="A103" t="s">
        <v>85</v>
      </c>
      <c r="B103" t="s">
        <v>241</v>
      </c>
      <c r="C103" s="2">
        <v>949053.28</v>
      </c>
    </row>
    <row r="104" spans="1:3" x14ac:dyDescent="0.25">
      <c r="A104" t="s">
        <v>85</v>
      </c>
      <c r="B104" t="s">
        <v>280</v>
      </c>
      <c r="C104" s="2">
        <v>37384.76</v>
      </c>
    </row>
    <row r="105" spans="1:3" x14ac:dyDescent="0.25">
      <c r="A105" t="s">
        <v>85</v>
      </c>
      <c r="B105" t="s">
        <v>242</v>
      </c>
      <c r="C105" s="2">
        <v>911668.52</v>
      </c>
    </row>
    <row r="106" spans="1:3" x14ac:dyDescent="0.25">
      <c r="A106" t="s">
        <v>85</v>
      </c>
      <c r="B106" t="s">
        <v>243</v>
      </c>
      <c r="C106" s="2">
        <v>11387565.720000001</v>
      </c>
    </row>
    <row r="107" spans="1:3" x14ac:dyDescent="0.25">
      <c r="A107" t="s">
        <v>85</v>
      </c>
      <c r="B107" t="s">
        <v>281</v>
      </c>
      <c r="C107" s="2">
        <v>11305344.57</v>
      </c>
    </row>
    <row r="108" spans="1:3" x14ac:dyDescent="0.25">
      <c r="A108" t="s">
        <v>85</v>
      </c>
      <c r="B108" t="s">
        <v>244</v>
      </c>
      <c r="C108" s="2">
        <v>82221.149999999994</v>
      </c>
    </row>
    <row r="109" spans="1:3" x14ac:dyDescent="0.25">
      <c r="A109" t="s">
        <v>85</v>
      </c>
      <c r="B109" t="s">
        <v>245</v>
      </c>
      <c r="C109" s="2">
        <v>35528.120000000003</v>
      </c>
    </row>
    <row r="110" spans="1:3" x14ac:dyDescent="0.25">
      <c r="A110" t="s">
        <v>85</v>
      </c>
      <c r="B110" t="s">
        <v>332</v>
      </c>
      <c r="C110" s="2">
        <v>46693.03</v>
      </c>
    </row>
    <row r="111" spans="1:3" x14ac:dyDescent="0.25">
      <c r="A111" t="s">
        <v>85</v>
      </c>
      <c r="B111" t="s">
        <v>246</v>
      </c>
      <c r="C111" s="2">
        <v>65595234.729999997</v>
      </c>
    </row>
    <row r="112" spans="1:3" x14ac:dyDescent="0.25">
      <c r="A112" t="s">
        <v>85</v>
      </c>
      <c r="B112" t="s">
        <v>247</v>
      </c>
      <c r="C112" s="2">
        <v>61482296.840000004</v>
      </c>
    </row>
    <row r="113" spans="1:3" x14ac:dyDescent="0.25">
      <c r="A113" t="s">
        <v>85</v>
      </c>
      <c r="B113" t="s">
        <v>248</v>
      </c>
      <c r="C113" s="2">
        <v>5407301.04</v>
      </c>
    </row>
    <row r="114" spans="1:3" x14ac:dyDescent="0.25">
      <c r="A114" t="s">
        <v>85</v>
      </c>
      <c r="B114" t="s">
        <v>416</v>
      </c>
      <c r="C114" s="2">
        <v>5407301.04</v>
      </c>
    </row>
    <row r="115" spans="1:3" x14ac:dyDescent="0.25">
      <c r="A115" t="s">
        <v>85</v>
      </c>
      <c r="B115" t="s">
        <v>333</v>
      </c>
      <c r="C115" s="2">
        <v>56074995.799999997</v>
      </c>
    </row>
    <row r="116" spans="1:3" x14ac:dyDescent="0.25">
      <c r="A116" t="s">
        <v>85</v>
      </c>
      <c r="B116" t="s">
        <v>417</v>
      </c>
      <c r="C116" s="2">
        <v>56074995.799999997</v>
      </c>
    </row>
    <row r="117" spans="1:3" x14ac:dyDescent="0.25">
      <c r="A117" t="s">
        <v>85</v>
      </c>
      <c r="B117" t="s">
        <v>250</v>
      </c>
      <c r="C117" s="2">
        <v>308300</v>
      </c>
    </row>
    <row r="118" spans="1:3" x14ac:dyDescent="0.25">
      <c r="A118" t="s">
        <v>85</v>
      </c>
      <c r="B118" t="s">
        <v>251</v>
      </c>
      <c r="C118" s="2">
        <v>308300</v>
      </c>
    </row>
    <row r="119" spans="1:3" x14ac:dyDescent="0.25">
      <c r="A119" t="s">
        <v>85</v>
      </c>
      <c r="B119" t="s">
        <v>418</v>
      </c>
      <c r="C119" s="2">
        <v>308300</v>
      </c>
    </row>
    <row r="120" spans="1:3" x14ac:dyDescent="0.25">
      <c r="A120" t="s">
        <v>85</v>
      </c>
      <c r="B120" t="s">
        <v>253</v>
      </c>
      <c r="C120" s="2">
        <v>3804637.89</v>
      </c>
    </row>
    <row r="121" spans="1:3" x14ac:dyDescent="0.25">
      <c r="A121" t="s">
        <v>85</v>
      </c>
      <c r="B121" t="s">
        <v>254</v>
      </c>
      <c r="C121" s="2">
        <v>3804637.89</v>
      </c>
    </row>
    <row r="122" spans="1:3" x14ac:dyDescent="0.25">
      <c r="A122" t="s">
        <v>85</v>
      </c>
      <c r="B122" t="s">
        <v>404</v>
      </c>
      <c r="C122" s="2">
        <v>3804637.89</v>
      </c>
    </row>
    <row r="123" spans="1:3" x14ac:dyDescent="0.25">
      <c r="A123" t="s">
        <v>85</v>
      </c>
      <c r="B123" t="s">
        <v>406</v>
      </c>
      <c r="C123" s="2">
        <v>3804637.89</v>
      </c>
    </row>
    <row r="124" spans="1:3" x14ac:dyDescent="0.25">
      <c r="A124" t="s">
        <v>85</v>
      </c>
      <c r="B124" t="s">
        <v>317</v>
      </c>
      <c r="C124" s="2">
        <v>3804637.89</v>
      </c>
    </row>
    <row r="125" spans="1:3" x14ac:dyDescent="0.25">
      <c r="A125" t="s">
        <v>85</v>
      </c>
      <c r="B125" t="s">
        <v>335</v>
      </c>
      <c r="C125" s="2">
        <v>84228202.319999993</v>
      </c>
    </row>
    <row r="126" spans="1:3" x14ac:dyDescent="0.25">
      <c r="A126" t="s">
        <v>85</v>
      </c>
      <c r="B126" t="s">
        <v>336</v>
      </c>
      <c r="C126" s="2">
        <v>84228202.319999993</v>
      </c>
    </row>
    <row r="127" spans="1:3" x14ac:dyDescent="0.25">
      <c r="A127" t="s">
        <v>85</v>
      </c>
      <c r="B127" t="s">
        <v>337</v>
      </c>
      <c r="C127" s="2">
        <v>84228202.319999993</v>
      </c>
    </row>
    <row r="128" spans="1:3" x14ac:dyDescent="0.25">
      <c r="A128" t="s">
        <v>85</v>
      </c>
      <c r="B128" t="s">
        <v>338</v>
      </c>
      <c r="C128" s="2">
        <v>84228202.319999993</v>
      </c>
    </row>
    <row r="129" spans="1:3" x14ac:dyDescent="0.25">
      <c r="A129" t="s">
        <v>85</v>
      </c>
      <c r="B129" t="s">
        <v>419</v>
      </c>
      <c r="C129" s="2">
        <v>84228202.319999993</v>
      </c>
    </row>
    <row r="130" spans="1:3" x14ac:dyDescent="0.25">
      <c r="A130" t="s">
        <v>85</v>
      </c>
      <c r="B130" t="s">
        <v>340</v>
      </c>
      <c r="C130" s="2">
        <v>84228202.319999993</v>
      </c>
    </row>
    <row r="131" spans="1:3" x14ac:dyDescent="0.25">
      <c r="A131" t="s">
        <v>85</v>
      </c>
      <c r="B131" t="s">
        <v>341</v>
      </c>
      <c r="C131" s="2">
        <v>84228202.319999993</v>
      </c>
    </row>
    <row r="132" spans="1:3" x14ac:dyDescent="0.25">
      <c r="A132" t="s">
        <v>85</v>
      </c>
      <c r="B132" t="s">
        <v>318</v>
      </c>
      <c r="C132" s="2">
        <v>1797147613.46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5.5703125" customWidth="1"/>
    <col min="2" max="2" width="101.42578125" customWidth="1"/>
    <col min="3" max="3" width="18" bestFit="1" customWidth="1"/>
    <col min="4" max="4" width="13" customWidth="1"/>
    <col min="5" max="5" width="17.42578125" bestFit="1" customWidth="1"/>
    <col min="6" max="6" width="18" bestFit="1" customWidth="1"/>
    <col min="7" max="7" width="13" customWidth="1"/>
    <col min="8" max="8" width="16.85546875" bestFit="1" customWidth="1"/>
    <col min="9" max="10" width="13" customWidth="1"/>
  </cols>
  <sheetData>
    <row r="1" spans="1:6" x14ac:dyDescent="0.25">
      <c r="A1" t="s">
        <v>420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6</v>
      </c>
      <c r="B5" t="s">
        <v>290</v>
      </c>
      <c r="C5" s="2">
        <v>779291708.05999994</v>
      </c>
      <c r="E5" s="2" t="s">
        <v>7</v>
      </c>
      <c r="F5" s="2">
        <f>C5</f>
        <v>779291708.05999994</v>
      </c>
    </row>
    <row r="6" spans="1:6" x14ac:dyDescent="0.25">
      <c r="A6" t="s">
        <v>6</v>
      </c>
      <c r="B6" t="s">
        <v>174</v>
      </c>
      <c r="C6" s="2">
        <v>737979792.77999997</v>
      </c>
      <c r="E6" s="2" t="s">
        <v>9</v>
      </c>
      <c r="F6" s="2">
        <f>C7</f>
        <v>121145793.47</v>
      </c>
    </row>
    <row r="7" spans="1:6" x14ac:dyDescent="0.25">
      <c r="A7" t="s">
        <v>6</v>
      </c>
      <c r="B7" t="s">
        <v>175</v>
      </c>
      <c r="C7" s="2">
        <v>121145793.47</v>
      </c>
      <c r="E7" s="2" t="s">
        <v>11</v>
      </c>
      <c r="F7" s="2">
        <f>C10</f>
        <v>12239957.5</v>
      </c>
    </row>
    <row r="8" spans="1:6" x14ac:dyDescent="0.25">
      <c r="A8" t="s">
        <v>6</v>
      </c>
      <c r="B8" t="s">
        <v>176</v>
      </c>
      <c r="C8" s="2">
        <v>112563697.28</v>
      </c>
      <c r="E8" s="2" t="s">
        <v>13</v>
      </c>
      <c r="F8" s="2">
        <f>C11</f>
        <v>14554849.99</v>
      </c>
    </row>
    <row r="9" spans="1:6" x14ac:dyDescent="0.25">
      <c r="A9" t="s">
        <v>6</v>
      </c>
      <c r="B9" t="s">
        <v>421</v>
      </c>
      <c r="C9" s="2">
        <v>26794807.489999998</v>
      </c>
      <c r="E9" s="2" t="s">
        <v>15</v>
      </c>
      <c r="F9" s="2">
        <f>C18</f>
        <v>54726736.039999999</v>
      </c>
    </row>
    <row r="10" spans="1:6" x14ac:dyDescent="0.25">
      <c r="A10" t="s">
        <v>6</v>
      </c>
      <c r="B10" t="s">
        <v>422</v>
      </c>
      <c r="C10" s="2">
        <v>12239957.5</v>
      </c>
      <c r="E10" s="2" t="s">
        <v>121</v>
      </c>
      <c r="F10" s="2">
        <f>C41</f>
        <v>581269165.96000004</v>
      </c>
    </row>
    <row r="11" spans="1:6" x14ac:dyDescent="0.25">
      <c r="A11" t="s">
        <v>6</v>
      </c>
      <c r="B11" t="s">
        <v>423</v>
      </c>
      <c r="C11" s="2">
        <v>14554849.99</v>
      </c>
      <c r="E11" s="2" t="s">
        <v>19</v>
      </c>
      <c r="F11" s="2">
        <f>C44</f>
        <v>166641752.53</v>
      </c>
    </row>
    <row r="12" spans="1:6" x14ac:dyDescent="0.25">
      <c r="A12" t="s">
        <v>6</v>
      </c>
      <c r="B12" t="s">
        <v>177</v>
      </c>
      <c r="C12" s="2">
        <v>31042153.75</v>
      </c>
      <c r="E12" s="2" t="s">
        <v>21</v>
      </c>
      <c r="F12" s="2">
        <f>C75</f>
        <v>137182273.87</v>
      </c>
    </row>
    <row r="13" spans="1:6" x14ac:dyDescent="0.25">
      <c r="A13" t="s">
        <v>6</v>
      </c>
      <c r="B13" t="s">
        <v>178</v>
      </c>
      <c r="C13" s="2">
        <v>31042153.75</v>
      </c>
      <c r="E13" s="2" t="s">
        <v>23</v>
      </c>
      <c r="F13" s="2">
        <f>SUM(C66,C89)</f>
        <v>146856583.95999998</v>
      </c>
    </row>
    <row r="14" spans="1:6" x14ac:dyDescent="0.25">
      <c r="A14" t="s">
        <v>6</v>
      </c>
      <c r="B14" t="s">
        <v>179</v>
      </c>
      <c r="C14" s="2">
        <v>27615962.66</v>
      </c>
      <c r="E14" s="2" t="s">
        <v>25</v>
      </c>
      <c r="F14" s="2">
        <f>C100</f>
        <v>41311915.280000001</v>
      </c>
    </row>
    <row r="15" spans="1:6" x14ac:dyDescent="0.25">
      <c r="A15" t="s">
        <v>6</v>
      </c>
      <c r="B15" t="s">
        <v>180</v>
      </c>
      <c r="C15" s="2">
        <v>3426191.09</v>
      </c>
    </row>
    <row r="16" spans="1:6" x14ac:dyDescent="0.25">
      <c r="A16" t="s">
        <v>6</v>
      </c>
      <c r="B16" t="s">
        <v>424</v>
      </c>
      <c r="C16" s="2">
        <v>54726736.039999999</v>
      </c>
    </row>
    <row r="17" spans="1:3" x14ac:dyDescent="0.25">
      <c r="A17" t="s">
        <v>6</v>
      </c>
      <c r="B17" t="s">
        <v>425</v>
      </c>
      <c r="C17" s="2">
        <v>54726736.039999999</v>
      </c>
    </row>
    <row r="18" spans="1:3" x14ac:dyDescent="0.25">
      <c r="A18" t="s">
        <v>6</v>
      </c>
      <c r="B18" t="s">
        <v>426</v>
      </c>
      <c r="C18" s="2">
        <v>54726736.039999999</v>
      </c>
    </row>
    <row r="19" spans="1:3" x14ac:dyDescent="0.25">
      <c r="A19" t="s">
        <v>6</v>
      </c>
      <c r="B19" t="s">
        <v>187</v>
      </c>
      <c r="C19" s="2">
        <v>8582096.1899999995</v>
      </c>
    </row>
    <row r="20" spans="1:3" x14ac:dyDescent="0.25">
      <c r="A20" t="s">
        <v>6</v>
      </c>
      <c r="B20" t="s">
        <v>188</v>
      </c>
      <c r="C20" s="2">
        <v>6009319.7999999998</v>
      </c>
    </row>
    <row r="21" spans="1:3" x14ac:dyDescent="0.25">
      <c r="A21" t="s">
        <v>6</v>
      </c>
      <c r="B21" t="s">
        <v>189</v>
      </c>
      <c r="C21" s="2">
        <v>5838435.6900000004</v>
      </c>
    </row>
    <row r="22" spans="1:3" x14ac:dyDescent="0.25">
      <c r="A22" t="s">
        <v>6</v>
      </c>
      <c r="B22" t="s">
        <v>291</v>
      </c>
      <c r="C22" s="2">
        <v>170884.11</v>
      </c>
    </row>
    <row r="23" spans="1:3" x14ac:dyDescent="0.25">
      <c r="A23" t="s">
        <v>6</v>
      </c>
      <c r="B23" t="s">
        <v>190</v>
      </c>
      <c r="C23" s="2">
        <v>2572776.39</v>
      </c>
    </row>
    <row r="24" spans="1:3" x14ac:dyDescent="0.25">
      <c r="A24" t="s">
        <v>6</v>
      </c>
      <c r="B24" t="s">
        <v>191</v>
      </c>
      <c r="C24" s="2">
        <v>2572776.39</v>
      </c>
    </row>
    <row r="25" spans="1:3" x14ac:dyDescent="0.25">
      <c r="A25" t="s">
        <v>6</v>
      </c>
      <c r="B25" t="s">
        <v>192</v>
      </c>
      <c r="C25" s="2">
        <v>8045511.79</v>
      </c>
    </row>
    <row r="26" spans="1:3" x14ac:dyDescent="0.25">
      <c r="A26" t="s">
        <v>6</v>
      </c>
      <c r="B26" t="s">
        <v>193</v>
      </c>
      <c r="C26" s="2">
        <v>8045511.79</v>
      </c>
    </row>
    <row r="27" spans="1:3" x14ac:dyDescent="0.25">
      <c r="A27" t="s">
        <v>6</v>
      </c>
      <c r="B27" t="s">
        <v>194</v>
      </c>
      <c r="C27" s="2">
        <v>25665139.07</v>
      </c>
    </row>
    <row r="28" spans="1:3" x14ac:dyDescent="0.25">
      <c r="A28" t="s">
        <v>6</v>
      </c>
      <c r="B28" t="s">
        <v>195</v>
      </c>
      <c r="C28" s="2">
        <v>11058305.859999999</v>
      </c>
    </row>
    <row r="29" spans="1:3" x14ac:dyDescent="0.25">
      <c r="A29" t="s">
        <v>6</v>
      </c>
      <c r="B29" t="s">
        <v>196</v>
      </c>
      <c r="C29" s="2">
        <v>11019806.32</v>
      </c>
    </row>
    <row r="30" spans="1:3" x14ac:dyDescent="0.25">
      <c r="A30" t="s">
        <v>6</v>
      </c>
      <c r="B30" t="s">
        <v>427</v>
      </c>
      <c r="C30" s="2">
        <v>11019806.32</v>
      </c>
    </row>
    <row r="31" spans="1:3" x14ac:dyDescent="0.25">
      <c r="A31" t="s">
        <v>6</v>
      </c>
      <c r="B31" t="s">
        <v>198</v>
      </c>
      <c r="C31" s="2">
        <v>38499.54</v>
      </c>
    </row>
    <row r="32" spans="1:3" x14ac:dyDescent="0.25">
      <c r="A32" t="s">
        <v>6</v>
      </c>
      <c r="B32" t="s">
        <v>199</v>
      </c>
      <c r="C32" s="2">
        <v>8300000</v>
      </c>
    </row>
    <row r="33" spans="1:8" x14ac:dyDescent="0.25">
      <c r="A33" t="s">
        <v>6</v>
      </c>
      <c r="B33" t="s">
        <v>428</v>
      </c>
      <c r="C33" s="2">
        <v>8300000</v>
      </c>
    </row>
    <row r="34" spans="1:8" x14ac:dyDescent="0.25">
      <c r="A34" t="s">
        <v>6</v>
      </c>
      <c r="B34" t="s">
        <v>429</v>
      </c>
      <c r="C34" s="2">
        <v>8300000</v>
      </c>
    </row>
    <row r="35" spans="1:8" x14ac:dyDescent="0.25">
      <c r="A35" t="s">
        <v>6</v>
      </c>
      <c r="B35" t="s">
        <v>430</v>
      </c>
      <c r="C35" s="2">
        <v>8300000</v>
      </c>
    </row>
    <row r="36" spans="1:8" x14ac:dyDescent="0.25">
      <c r="A36" t="s">
        <v>6</v>
      </c>
      <c r="B36" t="s">
        <v>295</v>
      </c>
      <c r="C36" s="2">
        <v>6306833.21</v>
      </c>
    </row>
    <row r="37" spans="1:8" x14ac:dyDescent="0.25">
      <c r="A37" t="s">
        <v>6</v>
      </c>
      <c r="B37" t="s">
        <v>268</v>
      </c>
      <c r="C37" s="2">
        <v>311280</v>
      </c>
    </row>
    <row r="38" spans="1:8" x14ac:dyDescent="0.25">
      <c r="A38" t="s">
        <v>6</v>
      </c>
      <c r="B38" t="s">
        <v>269</v>
      </c>
      <c r="C38" s="2">
        <v>311280</v>
      </c>
    </row>
    <row r="39" spans="1:8" x14ac:dyDescent="0.25">
      <c r="A39" t="s">
        <v>6</v>
      </c>
      <c r="B39" t="s">
        <v>431</v>
      </c>
      <c r="C39" s="2">
        <v>311280</v>
      </c>
    </row>
    <row r="40" spans="1:8" x14ac:dyDescent="0.25">
      <c r="A40" t="s">
        <v>6</v>
      </c>
      <c r="B40" t="s">
        <v>432</v>
      </c>
      <c r="C40" s="2">
        <v>311280</v>
      </c>
    </row>
    <row r="41" spans="1:8" x14ac:dyDescent="0.25">
      <c r="A41" t="s">
        <v>6</v>
      </c>
      <c r="B41" t="s">
        <v>200</v>
      </c>
      <c r="C41" s="2">
        <v>581269165.96000004</v>
      </c>
    </row>
    <row r="42" spans="1:8" x14ac:dyDescent="0.25">
      <c r="A42" t="s">
        <v>6</v>
      </c>
      <c r="B42" t="s">
        <v>201</v>
      </c>
      <c r="C42" s="2">
        <v>318945222.13</v>
      </c>
    </row>
    <row r="43" spans="1:8" x14ac:dyDescent="0.25">
      <c r="A43" t="s">
        <v>6</v>
      </c>
      <c r="B43" t="s">
        <v>433</v>
      </c>
      <c r="C43" s="2">
        <v>172431070.24000001</v>
      </c>
    </row>
    <row r="44" spans="1:8" x14ac:dyDescent="0.25">
      <c r="A44" t="s">
        <v>6</v>
      </c>
      <c r="B44" t="s">
        <v>434</v>
      </c>
      <c r="C44" s="2">
        <v>166641752.53</v>
      </c>
    </row>
    <row r="45" spans="1:8" x14ac:dyDescent="0.25">
      <c r="A45" t="s">
        <v>6</v>
      </c>
      <c r="B45" t="s">
        <v>435</v>
      </c>
      <c r="C45" s="2">
        <v>152545930.94999999</v>
      </c>
    </row>
    <row r="46" spans="1:8" x14ac:dyDescent="0.25">
      <c r="A46" t="s">
        <v>6</v>
      </c>
      <c r="B46" t="s">
        <v>436</v>
      </c>
      <c r="C46" s="2">
        <v>6682248.8200000003</v>
      </c>
    </row>
    <row r="47" spans="1:8" x14ac:dyDescent="0.25">
      <c r="A47" t="s">
        <v>6</v>
      </c>
      <c r="B47" t="s">
        <v>437</v>
      </c>
      <c r="C47" s="2">
        <v>7413572.7599999998</v>
      </c>
      <c r="H47" s="1"/>
    </row>
    <row r="48" spans="1:8" x14ac:dyDescent="0.25">
      <c r="A48" t="s">
        <v>6</v>
      </c>
      <c r="B48" t="s">
        <v>438</v>
      </c>
      <c r="C48" s="2">
        <v>5789317.71</v>
      </c>
      <c r="H48" s="1"/>
    </row>
    <row r="49" spans="1:3" x14ac:dyDescent="0.25">
      <c r="A49" t="s">
        <v>6</v>
      </c>
      <c r="B49" t="s">
        <v>439</v>
      </c>
      <c r="C49" s="2">
        <v>3730530.1</v>
      </c>
    </row>
    <row r="50" spans="1:3" x14ac:dyDescent="0.25">
      <c r="A50" t="s">
        <v>6</v>
      </c>
      <c r="B50" t="s">
        <v>440</v>
      </c>
      <c r="C50" s="2">
        <v>34441.07</v>
      </c>
    </row>
    <row r="51" spans="1:3" x14ac:dyDescent="0.25">
      <c r="A51" t="s">
        <v>6</v>
      </c>
      <c r="B51" t="s">
        <v>441</v>
      </c>
      <c r="C51" s="2">
        <v>3696089.03</v>
      </c>
    </row>
    <row r="52" spans="1:3" x14ac:dyDescent="0.25">
      <c r="A52" t="s">
        <v>6</v>
      </c>
      <c r="B52" t="s">
        <v>442</v>
      </c>
      <c r="C52" s="2">
        <v>3696089.03</v>
      </c>
    </row>
    <row r="53" spans="1:3" x14ac:dyDescent="0.25">
      <c r="A53" t="s">
        <v>6</v>
      </c>
      <c r="B53" t="s">
        <v>443</v>
      </c>
      <c r="C53" s="2">
        <v>81947346.819999993</v>
      </c>
    </row>
    <row r="54" spans="1:3" x14ac:dyDescent="0.25">
      <c r="A54" t="s">
        <v>6</v>
      </c>
      <c r="B54" t="s">
        <v>444</v>
      </c>
      <c r="C54" s="2">
        <v>81947346.819999993</v>
      </c>
    </row>
    <row r="55" spans="1:3" x14ac:dyDescent="0.25">
      <c r="A55" t="s">
        <v>6</v>
      </c>
      <c r="B55" t="s">
        <v>445</v>
      </c>
      <c r="C55" s="2">
        <v>19562364.34</v>
      </c>
    </row>
    <row r="56" spans="1:3" x14ac:dyDescent="0.25">
      <c r="A56" t="s">
        <v>6</v>
      </c>
      <c r="B56" t="s">
        <v>446</v>
      </c>
      <c r="C56" s="2">
        <v>58827867.170000002</v>
      </c>
    </row>
    <row r="57" spans="1:3" x14ac:dyDescent="0.25">
      <c r="A57" t="s">
        <v>6</v>
      </c>
      <c r="B57" t="s">
        <v>447</v>
      </c>
      <c r="C57" s="2">
        <v>2290391.61</v>
      </c>
    </row>
    <row r="58" spans="1:3" x14ac:dyDescent="0.25">
      <c r="A58" t="s">
        <v>6</v>
      </c>
      <c r="B58" t="s">
        <v>448</v>
      </c>
      <c r="C58" s="2">
        <v>917090.16</v>
      </c>
    </row>
    <row r="59" spans="1:3" x14ac:dyDescent="0.25">
      <c r="A59" t="s">
        <v>6</v>
      </c>
      <c r="B59" t="s">
        <v>449</v>
      </c>
      <c r="C59" s="2">
        <v>40953.800000000003</v>
      </c>
    </row>
    <row r="60" spans="1:3" x14ac:dyDescent="0.25">
      <c r="A60" t="s">
        <v>6</v>
      </c>
      <c r="B60" t="s">
        <v>450</v>
      </c>
      <c r="C60" s="2">
        <v>308679.74</v>
      </c>
    </row>
    <row r="61" spans="1:3" x14ac:dyDescent="0.25">
      <c r="A61" t="s">
        <v>6</v>
      </c>
      <c r="B61" t="s">
        <v>451</v>
      </c>
      <c r="C61" s="2">
        <v>5631594.8300000001</v>
      </c>
    </row>
    <row r="62" spans="1:3" x14ac:dyDescent="0.25">
      <c r="A62" t="s">
        <v>6</v>
      </c>
      <c r="B62" t="s">
        <v>452</v>
      </c>
      <c r="C62" s="2">
        <v>3189709.34</v>
      </c>
    </row>
    <row r="63" spans="1:3" x14ac:dyDescent="0.25">
      <c r="A63" t="s">
        <v>6</v>
      </c>
      <c r="B63" t="s">
        <v>453</v>
      </c>
      <c r="C63" s="2">
        <v>15000</v>
      </c>
    </row>
    <row r="64" spans="1:3" x14ac:dyDescent="0.25">
      <c r="A64" t="s">
        <v>6</v>
      </c>
      <c r="B64" t="s">
        <v>454</v>
      </c>
      <c r="C64" s="2">
        <v>1974302</v>
      </c>
    </row>
    <row r="65" spans="1:3" x14ac:dyDescent="0.25">
      <c r="A65" t="s">
        <v>6</v>
      </c>
      <c r="B65" t="s">
        <v>455</v>
      </c>
      <c r="C65" s="2">
        <v>452583.49</v>
      </c>
    </row>
    <row r="66" spans="1:3" x14ac:dyDescent="0.25">
      <c r="A66" t="s">
        <v>6</v>
      </c>
      <c r="B66" t="s">
        <v>456</v>
      </c>
      <c r="C66" s="2">
        <v>48614812.140000001</v>
      </c>
    </row>
    <row r="67" spans="1:3" x14ac:dyDescent="0.25">
      <c r="A67" t="s">
        <v>6</v>
      </c>
      <c r="B67" t="s">
        <v>457</v>
      </c>
      <c r="C67" s="2">
        <v>2127838.25</v>
      </c>
    </row>
    <row r="68" spans="1:3" x14ac:dyDescent="0.25">
      <c r="A68" t="s">
        <v>6</v>
      </c>
      <c r="B68" t="s">
        <v>458</v>
      </c>
      <c r="C68" s="2">
        <v>123832.68</v>
      </c>
    </row>
    <row r="69" spans="1:3" x14ac:dyDescent="0.25">
      <c r="A69" t="s">
        <v>6</v>
      </c>
      <c r="B69" t="s">
        <v>459</v>
      </c>
      <c r="C69" s="2">
        <v>123832.68</v>
      </c>
    </row>
    <row r="70" spans="1:3" x14ac:dyDescent="0.25">
      <c r="A70" t="s">
        <v>6</v>
      </c>
      <c r="B70" t="s">
        <v>460</v>
      </c>
      <c r="C70" s="2">
        <v>4338197.07</v>
      </c>
    </row>
    <row r="71" spans="1:3" x14ac:dyDescent="0.25">
      <c r="A71" t="s">
        <v>6</v>
      </c>
      <c r="B71" t="s">
        <v>461</v>
      </c>
      <c r="C71" s="2">
        <v>671657.28</v>
      </c>
    </row>
    <row r="72" spans="1:3" x14ac:dyDescent="0.25">
      <c r="A72" t="s">
        <v>6</v>
      </c>
      <c r="B72" t="s">
        <v>462</v>
      </c>
      <c r="C72" s="2">
        <v>3666539.79</v>
      </c>
    </row>
    <row r="73" spans="1:3" x14ac:dyDescent="0.25">
      <c r="A73" t="s">
        <v>6</v>
      </c>
      <c r="B73" t="s">
        <v>223</v>
      </c>
      <c r="C73" s="2">
        <v>163926336.28999999</v>
      </c>
    </row>
    <row r="74" spans="1:3" x14ac:dyDescent="0.25">
      <c r="A74" t="s">
        <v>6</v>
      </c>
      <c r="B74" t="s">
        <v>463</v>
      </c>
      <c r="C74" s="2">
        <v>161027234.19999999</v>
      </c>
    </row>
    <row r="75" spans="1:3" x14ac:dyDescent="0.25">
      <c r="A75" t="s">
        <v>6</v>
      </c>
      <c r="B75" t="s">
        <v>464</v>
      </c>
      <c r="C75" s="2">
        <v>137182273.87</v>
      </c>
    </row>
    <row r="76" spans="1:3" x14ac:dyDescent="0.25">
      <c r="A76" t="s">
        <v>6</v>
      </c>
      <c r="B76" t="s">
        <v>465</v>
      </c>
      <c r="C76" s="2">
        <v>23011250.629999999</v>
      </c>
    </row>
    <row r="77" spans="1:3" x14ac:dyDescent="0.25">
      <c r="A77" t="s">
        <v>6</v>
      </c>
      <c r="B77" t="s">
        <v>466</v>
      </c>
      <c r="C77" s="2">
        <v>722726.55</v>
      </c>
    </row>
    <row r="78" spans="1:3" x14ac:dyDescent="0.25">
      <c r="A78" t="s">
        <v>6</v>
      </c>
      <c r="B78" t="s">
        <v>467</v>
      </c>
      <c r="C78" s="2">
        <v>110983.15</v>
      </c>
    </row>
    <row r="79" spans="1:3" x14ac:dyDescent="0.25">
      <c r="A79" t="s">
        <v>6</v>
      </c>
      <c r="B79" t="s">
        <v>468</v>
      </c>
      <c r="C79" s="2">
        <v>99399.17</v>
      </c>
    </row>
    <row r="80" spans="1:3" x14ac:dyDescent="0.25">
      <c r="A80" t="s">
        <v>6</v>
      </c>
      <c r="B80" t="s">
        <v>469</v>
      </c>
      <c r="C80" s="2">
        <v>99399.17</v>
      </c>
    </row>
    <row r="81" spans="1:3" x14ac:dyDescent="0.25">
      <c r="A81" t="s">
        <v>6</v>
      </c>
      <c r="B81" t="s">
        <v>470</v>
      </c>
      <c r="C81" s="2">
        <v>1899139.2</v>
      </c>
    </row>
    <row r="82" spans="1:3" x14ac:dyDescent="0.25">
      <c r="A82" t="s">
        <v>6</v>
      </c>
      <c r="B82" t="s">
        <v>471</v>
      </c>
      <c r="C82" s="2">
        <v>900563.72</v>
      </c>
    </row>
    <row r="83" spans="1:3" x14ac:dyDescent="0.25">
      <c r="A83" t="s">
        <v>6</v>
      </c>
      <c r="B83" t="s">
        <v>472</v>
      </c>
      <c r="C83" s="2">
        <v>800849.8</v>
      </c>
    </row>
    <row r="84" spans="1:3" x14ac:dyDescent="0.25">
      <c r="A84" t="s">
        <v>6</v>
      </c>
      <c r="B84" t="s">
        <v>473</v>
      </c>
      <c r="C84" s="2">
        <v>99713.919999999998</v>
      </c>
    </row>
    <row r="85" spans="1:3" x14ac:dyDescent="0.25">
      <c r="A85" t="s">
        <v>6</v>
      </c>
      <c r="B85" t="s">
        <v>232</v>
      </c>
      <c r="C85" s="2">
        <v>155835.72</v>
      </c>
    </row>
    <row r="86" spans="1:3" x14ac:dyDescent="0.25">
      <c r="A86" t="s">
        <v>6</v>
      </c>
      <c r="B86" t="s">
        <v>474</v>
      </c>
      <c r="C86" s="2">
        <v>155835.72</v>
      </c>
    </row>
    <row r="87" spans="1:3" x14ac:dyDescent="0.25">
      <c r="A87" t="s">
        <v>6</v>
      </c>
      <c r="B87" t="s">
        <v>475</v>
      </c>
      <c r="C87" s="2">
        <v>155835.72</v>
      </c>
    </row>
    <row r="88" spans="1:3" x14ac:dyDescent="0.25">
      <c r="A88" t="s">
        <v>6</v>
      </c>
      <c r="B88" t="s">
        <v>234</v>
      </c>
      <c r="C88" s="2">
        <v>98241771.819999993</v>
      </c>
    </row>
    <row r="89" spans="1:3" x14ac:dyDescent="0.25">
      <c r="A89" t="s">
        <v>6</v>
      </c>
      <c r="B89" t="s">
        <v>476</v>
      </c>
      <c r="C89" s="2">
        <v>98241771.819999993</v>
      </c>
    </row>
    <row r="90" spans="1:3" x14ac:dyDescent="0.25">
      <c r="A90" t="s">
        <v>6</v>
      </c>
      <c r="B90" t="s">
        <v>237</v>
      </c>
      <c r="C90" s="2">
        <v>1542902.49</v>
      </c>
    </row>
    <row r="91" spans="1:3" x14ac:dyDescent="0.25">
      <c r="A91" t="s">
        <v>6</v>
      </c>
      <c r="B91" t="s">
        <v>238</v>
      </c>
      <c r="C91" s="2">
        <v>1245792.67</v>
      </c>
    </row>
    <row r="92" spans="1:3" x14ac:dyDescent="0.25">
      <c r="A92" t="s">
        <v>6</v>
      </c>
      <c r="B92" t="s">
        <v>477</v>
      </c>
      <c r="C92" s="2">
        <v>1245792.67</v>
      </c>
    </row>
    <row r="93" spans="1:3" x14ac:dyDescent="0.25">
      <c r="A93" t="s">
        <v>6</v>
      </c>
      <c r="B93" t="s">
        <v>478</v>
      </c>
      <c r="C93" s="2">
        <v>1226888.3400000001</v>
      </c>
    </row>
    <row r="94" spans="1:3" x14ac:dyDescent="0.25">
      <c r="A94" t="s">
        <v>6</v>
      </c>
      <c r="B94" t="s">
        <v>479</v>
      </c>
      <c r="C94" s="2">
        <v>18904.330000000002</v>
      </c>
    </row>
    <row r="95" spans="1:3" x14ac:dyDescent="0.25">
      <c r="A95" t="s">
        <v>6</v>
      </c>
      <c r="B95" t="s">
        <v>239</v>
      </c>
      <c r="C95" s="2">
        <v>297109.82</v>
      </c>
    </row>
    <row r="96" spans="1:3" x14ac:dyDescent="0.25">
      <c r="A96" t="s">
        <v>6</v>
      </c>
      <c r="B96" t="s">
        <v>240</v>
      </c>
      <c r="C96" s="2">
        <v>19108</v>
      </c>
    </row>
    <row r="97" spans="1:3" x14ac:dyDescent="0.25">
      <c r="A97" t="s">
        <v>6</v>
      </c>
      <c r="B97" t="s">
        <v>309</v>
      </c>
      <c r="C97" s="2">
        <v>19108</v>
      </c>
    </row>
    <row r="98" spans="1:3" x14ac:dyDescent="0.25">
      <c r="A98" t="s">
        <v>6</v>
      </c>
      <c r="B98" t="s">
        <v>241</v>
      </c>
      <c r="C98" s="2">
        <v>278001.82</v>
      </c>
    </row>
    <row r="99" spans="1:3" x14ac:dyDescent="0.25">
      <c r="A99" t="s">
        <v>6</v>
      </c>
      <c r="B99" t="s">
        <v>242</v>
      </c>
      <c r="C99" s="2">
        <v>278001.82</v>
      </c>
    </row>
    <row r="100" spans="1:3" x14ac:dyDescent="0.25">
      <c r="A100" t="s">
        <v>6</v>
      </c>
      <c r="B100" t="s">
        <v>246</v>
      </c>
      <c r="C100" s="2">
        <v>41311915.280000001</v>
      </c>
    </row>
    <row r="101" spans="1:3" x14ac:dyDescent="0.25">
      <c r="A101" t="s">
        <v>6</v>
      </c>
      <c r="B101" t="s">
        <v>247</v>
      </c>
      <c r="C101" s="2">
        <v>40000000</v>
      </c>
    </row>
    <row r="102" spans="1:3" x14ac:dyDescent="0.25">
      <c r="A102" t="s">
        <v>6</v>
      </c>
      <c r="B102" t="s">
        <v>248</v>
      </c>
      <c r="C102" s="2">
        <v>40000000</v>
      </c>
    </row>
    <row r="103" spans="1:3" x14ac:dyDescent="0.25">
      <c r="A103" t="s">
        <v>6</v>
      </c>
      <c r="B103" t="s">
        <v>480</v>
      </c>
      <c r="C103" s="2">
        <v>40000000</v>
      </c>
    </row>
    <row r="104" spans="1:3" x14ac:dyDescent="0.25">
      <c r="A104" t="s">
        <v>6</v>
      </c>
      <c r="B104" t="s">
        <v>481</v>
      </c>
      <c r="C104" s="2">
        <v>20000000</v>
      </c>
    </row>
    <row r="105" spans="1:3" x14ac:dyDescent="0.25">
      <c r="A105" t="s">
        <v>6</v>
      </c>
      <c r="B105" t="s">
        <v>482</v>
      </c>
      <c r="C105" s="2">
        <v>20000000</v>
      </c>
    </row>
    <row r="106" spans="1:3" x14ac:dyDescent="0.25">
      <c r="A106" t="s">
        <v>6</v>
      </c>
      <c r="B106" t="s">
        <v>253</v>
      </c>
      <c r="C106" s="2">
        <v>1311915.28</v>
      </c>
    </row>
    <row r="107" spans="1:3" x14ac:dyDescent="0.25">
      <c r="A107" t="s">
        <v>6</v>
      </c>
      <c r="B107" t="s">
        <v>254</v>
      </c>
      <c r="C107" s="2">
        <v>1311915.28</v>
      </c>
    </row>
    <row r="108" spans="1:3" x14ac:dyDescent="0.25">
      <c r="A108" t="s">
        <v>6</v>
      </c>
      <c r="B108" t="s">
        <v>483</v>
      </c>
      <c r="C108" s="2">
        <v>1311915.28</v>
      </c>
    </row>
    <row r="109" spans="1:3" x14ac:dyDescent="0.25">
      <c r="A109" t="s">
        <v>6</v>
      </c>
      <c r="B109" t="s">
        <v>484</v>
      </c>
      <c r="C109" s="2">
        <v>684750</v>
      </c>
    </row>
    <row r="110" spans="1:3" x14ac:dyDescent="0.25">
      <c r="A110" t="s">
        <v>6</v>
      </c>
      <c r="B110" t="s">
        <v>485</v>
      </c>
      <c r="C110" s="2">
        <v>27775.89</v>
      </c>
    </row>
    <row r="111" spans="1:3" x14ac:dyDescent="0.25">
      <c r="A111" t="s">
        <v>6</v>
      </c>
      <c r="B111" t="s">
        <v>486</v>
      </c>
      <c r="C111" s="2">
        <v>599389.39</v>
      </c>
    </row>
    <row r="112" spans="1:3" x14ac:dyDescent="0.25">
      <c r="A112" t="s">
        <v>6</v>
      </c>
      <c r="B112" t="s">
        <v>318</v>
      </c>
      <c r="C112" s="2">
        <v>779291708.05999994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6.5703125" customWidth="1"/>
    <col min="2" max="2" width="102.5703125" customWidth="1"/>
    <col min="3" max="3" width="19.5703125" bestFit="1" customWidth="1"/>
    <col min="4" max="4" width="13" customWidth="1"/>
    <col min="5" max="5" width="17.42578125" bestFit="1" customWidth="1"/>
    <col min="6" max="6" width="19.5703125" bestFit="1" customWidth="1"/>
    <col min="7" max="7" width="16.85546875" bestFit="1" customWidth="1"/>
    <col min="8" max="10" width="13" customWidth="1"/>
  </cols>
  <sheetData>
    <row r="1" spans="1:6" x14ac:dyDescent="0.25">
      <c r="A1" t="s">
        <v>420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85</v>
      </c>
      <c r="B5" t="s">
        <v>290</v>
      </c>
      <c r="C5" s="2">
        <v>1958507390.6400001</v>
      </c>
      <c r="E5" s="2" t="s">
        <v>7</v>
      </c>
      <c r="F5" s="2">
        <f>C5</f>
        <v>1958507390.6400001</v>
      </c>
    </row>
    <row r="6" spans="1:6" x14ac:dyDescent="0.25">
      <c r="A6" t="s">
        <v>85</v>
      </c>
      <c r="B6" t="s">
        <v>174</v>
      </c>
      <c r="C6" s="2">
        <v>1923525550.9100001</v>
      </c>
      <c r="E6" s="2" t="s">
        <v>9</v>
      </c>
      <c r="F6" s="2">
        <f>C7</f>
        <v>640195895.10000002</v>
      </c>
    </row>
    <row r="7" spans="1:6" x14ac:dyDescent="0.25">
      <c r="A7" t="s">
        <v>85</v>
      </c>
      <c r="B7" t="s">
        <v>175</v>
      </c>
      <c r="C7" s="2">
        <v>640195895.10000002</v>
      </c>
      <c r="E7" s="2" t="s">
        <v>11</v>
      </c>
      <c r="F7" s="2">
        <f>C10</f>
        <v>259779725.15000001</v>
      </c>
    </row>
    <row r="8" spans="1:6" x14ac:dyDescent="0.25">
      <c r="A8" t="s">
        <v>85</v>
      </c>
      <c r="B8" t="s">
        <v>176</v>
      </c>
      <c r="C8" s="2">
        <v>585324470.88999999</v>
      </c>
      <c r="E8" s="2" t="s">
        <v>13</v>
      </c>
      <c r="F8" s="2">
        <f>C11</f>
        <v>58216001.219999999</v>
      </c>
    </row>
    <row r="9" spans="1:6" x14ac:dyDescent="0.25">
      <c r="A9" t="s">
        <v>85</v>
      </c>
      <c r="B9" t="s">
        <v>421</v>
      </c>
      <c r="C9" s="2">
        <v>317995726.37</v>
      </c>
      <c r="E9" s="2" t="s">
        <v>15</v>
      </c>
      <c r="F9" s="2">
        <f>C18</f>
        <v>203780361.09</v>
      </c>
    </row>
    <row r="10" spans="1:6" x14ac:dyDescent="0.25">
      <c r="A10" t="s">
        <v>85</v>
      </c>
      <c r="B10" t="s">
        <v>422</v>
      </c>
      <c r="C10" s="2">
        <v>259779725.15000001</v>
      </c>
      <c r="E10" s="2" t="s">
        <v>121</v>
      </c>
      <c r="F10" s="2">
        <f>C55</f>
        <v>1118498696.03</v>
      </c>
    </row>
    <row r="11" spans="1:6" x14ac:dyDescent="0.25">
      <c r="A11" t="s">
        <v>85</v>
      </c>
      <c r="B11" t="s">
        <v>423</v>
      </c>
      <c r="C11" s="2">
        <v>58216001.219999999</v>
      </c>
      <c r="E11" s="2" t="s">
        <v>19</v>
      </c>
      <c r="F11" s="2">
        <f>C58</f>
        <v>166641752.53</v>
      </c>
    </row>
    <row r="12" spans="1:6" x14ac:dyDescent="0.25">
      <c r="A12" t="s">
        <v>85</v>
      </c>
      <c r="B12" t="s">
        <v>177</v>
      </c>
      <c r="C12" s="2">
        <v>63548383.43</v>
      </c>
      <c r="E12" s="2" t="s">
        <v>21</v>
      </c>
      <c r="F12" s="2">
        <f>C91</f>
        <v>594671627.88</v>
      </c>
    </row>
    <row r="13" spans="1:6" x14ac:dyDescent="0.25">
      <c r="A13" t="s">
        <v>85</v>
      </c>
      <c r="B13" t="s">
        <v>178</v>
      </c>
      <c r="C13" s="2">
        <v>63548383.43</v>
      </c>
      <c r="E13" s="2" t="s">
        <v>23</v>
      </c>
      <c r="F13" s="2">
        <f>SUM(C82,C103)</f>
        <v>195628223.53999999</v>
      </c>
    </row>
    <row r="14" spans="1:6" x14ac:dyDescent="0.25">
      <c r="A14" t="s">
        <v>85</v>
      </c>
      <c r="B14" t="s">
        <v>179</v>
      </c>
      <c r="C14" s="2">
        <v>60073336.770000003</v>
      </c>
      <c r="E14" s="2" t="s">
        <v>25</v>
      </c>
      <c r="F14" s="2">
        <f>C125</f>
        <v>34981839.729999997</v>
      </c>
    </row>
    <row r="15" spans="1:6" x14ac:dyDescent="0.25">
      <c r="A15" t="s">
        <v>85</v>
      </c>
      <c r="B15" t="s">
        <v>180</v>
      </c>
      <c r="C15" s="2">
        <v>3475046.66</v>
      </c>
    </row>
    <row r="16" spans="1:6" x14ac:dyDescent="0.25">
      <c r="A16" t="s">
        <v>85</v>
      </c>
      <c r="B16" t="s">
        <v>424</v>
      </c>
      <c r="C16" s="2">
        <v>203780361.09</v>
      </c>
    </row>
    <row r="17" spans="1:3" x14ac:dyDescent="0.25">
      <c r="A17" t="s">
        <v>85</v>
      </c>
      <c r="B17" t="s">
        <v>425</v>
      </c>
      <c r="C17" s="2">
        <v>203780361.09</v>
      </c>
    </row>
    <row r="18" spans="1:3" x14ac:dyDescent="0.25">
      <c r="A18" t="s">
        <v>85</v>
      </c>
      <c r="B18" t="s">
        <v>426</v>
      </c>
      <c r="C18" s="2">
        <v>203780361.09</v>
      </c>
    </row>
    <row r="19" spans="1:3" x14ac:dyDescent="0.25">
      <c r="A19" t="s">
        <v>85</v>
      </c>
      <c r="B19" t="s">
        <v>187</v>
      </c>
      <c r="C19" s="2">
        <v>54871424.210000001</v>
      </c>
    </row>
    <row r="20" spans="1:3" x14ac:dyDescent="0.25">
      <c r="A20" t="s">
        <v>85</v>
      </c>
      <c r="B20" t="s">
        <v>188</v>
      </c>
      <c r="C20" s="2">
        <v>15771646.34</v>
      </c>
    </row>
    <row r="21" spans="1:3" x14ac:dyDescent="0.25">
      <c r="A21" t="s">
        <v>85</v>
      </c>
      <c r="B21" t="s">
        <v>189</v>
      </c>
      <c r="C21" s="2">
        <v>15575444.15</v>
      </c>
    </row>
    <row r="22" spans="1:3" x14ac:dyDescent="0.25">
      <c r="A22" t="s">
        <v>85</v>
      </c>
      <c r="B22" t="s">
        <v>487</v>
      </c>
      <c r="C22" s="2">
        <v>196202.19</v>
      </c>
    </row>
    <row r="23" spans="1:3" x14ac:dyDescent="0.25">
      <c r="A23" t="s">
        <v>85</v>
      </c>
      <c r="B23" t="s">
        <v>190</v>
      </c>
      <c r="C23" s="2">
        <v>39099777.869999997</v>
      </c>
    </row>
    <row r="24" spans="1:3" x14ac:dyDescent="0.25">
      <c r="A24" t="s">
        <v>85</v>
      </c>
      <c r="B24" t="s">
        <v>191</v>
      </c>
      <c r="C24" s="2">
        <v>39099777.869999997</v>
      </c>
    </row>
    <row r="25" spans="1:3" x14ac:dyDescent="0.25">
      <c r="A25" t="s">
        <v>85</v>
      </c>
      <c r="B25" t="s">
        <v>192</v>
      </c>
      <c r="C25" s="2">
        <v>83921217.609999999</v>
      </c>
    </row>
    <row r="26" spans="1:3" x14ac:dyDescent="0.25">
      <c r="A26" t="s">
        <v>85</v>
      </c>
      <c r="B26" t="s">
        <v>259</v>
      </c>
      <c r="C26" s="2">
        <v>53147320.350000001</v>
      </c>
    </row>
    <row r="27" spans="1:3" x14ac:dyDescent="0.25">
      <c r="A27" t="s">
        <v>85</v>
      </c>
      <c r="B27" t="s">
        <v>488</v>
      </c>
      <c r="C27" s="2">
        <v>53147320.350000001</v>
      </c>
    </row>
    <row r="28" spans="1:3" x14ac:dyDescent="0.25">
      <c r="A28" t="s">
        <v>85</v>
      </c>
      <c r="B28" t="s">
        <v>489</v>
      </c>
      <c r="C28" s="2">
        <v>52866428.030000001</v>
      </c>
    </row>
    <row r="29" spans="1:3" x14ac:dyDescent="0.25">
      <c r="A29" t="s">
        <v>85</v>
      </c>
      <c r="B29" t="s">
        <v>490</v>
      </c>
      <c r="C29" s="2">
        <v>38852724.090000004</v>
      </c>
    </row>
    <row r="30" spans="1:3" x14ac:dyDescent="0.25">
      <c r="A30" t="s">
        <v>85</v>
      </c>
      <c r="B30" t="s">
        <v>491</v>
      </c>
      <c r="C30" s="2">
        <v>12789080.1</v>
      </c>
    </row>
    <row r="31" spans="1:3" x14ac:dyDescent="0.25">
      <c r="A31" t="s">
        <v>85</v>
      </c>
      <c r="B31" t="s">
        <v>492</v>
      </c>
      <c r="C31" s="2">
        <v>1200615.48</v>
      </c>
    </row>
    <row r="32" spans="1:3" x14ac:dyDescent="0.25">
      <c r="A32" t="s">
        <v>85</v>
      </c>
      <c r="B32" t="s">
        <v>493</v>
      </c>
      <c r="C32" s="2">
        <v>24008.36</v>
      </c>
    </row>
    <row r="33" spans="1:3" x14ac:dyDescent="0.25">
      <c r="A33" t="s">
        <v>85</v>
      </c>
      <c r="B33" t="s">
        <v>494</v>
      </c>
      <c r="C33" s="2">
        <v>280892.32</v>
      </c>
    </row>
    <row r="34" spans="1:3" x14ac:dyDescent="0.25">
      <c r="A34" t="s">
        <v>85</v>
      </c>
      <c r="B34" t="s">
        <v>495</v>
      </c>
      <c r="C34" s="2">
        <v>280892.32</v>
      </c>
    </row>
    <row r="35" spans="1:3" x14ac:dyDescent="0.25">
      <c r="A35" t="s">
        <v>85</v>
      </c>
      <c r="B35" t="s">
        <v>193</v>
      </c>
      <c r="C35" s="2">
        <v>30773897.260000002</v>
      </c>
    </row>
    <row r="36" spans="1:3" x14ac:dyDescent="0.25">
      <c r="A36" t="s">
        <v>85</v>
      </c>
      <c r="B36" t="s">
        <v>194</v>
      </c>
      <c r="C36" s="2">
        <v>55964539.939999998</v>
      </c>
    </row>
    <row r="37" spans="1:3" x14ac:dyDescent="0.25">
      <c r="A37" t="s">
        <v>85</v>
      </c>
      <c r="B37" t="s">
        <v>356</v>
      </c>
      <c r="C37" s="2">
        <v>3150</v>
      </c>
    </row>
    <row r="38" spans="1:3" x14ac:dyDescent="0.25">
      <c r="A38" t="s">
        <v>85</v>
      </c>
      <c r="B38" t="s">
        <v>496</v>
      </c>
      <c r="C38" s="2">
        <v>3150</v>
      </c>
    </row>
    <row r="39" spans="1:3" x14ac:dyDescent="0.25">
      <c r="A39" t="s">
        <v>85</v>
      </c>
      <c r="B39" t="s">
        <v>497</v>
      </c>
      <c r="C39" s="2">
        <v>3150</v>
      </c>
    </row>
    <row r="40" spans="1:3" x14ac:dyDescent="0.25">
      <c r="A40" t="s">
        <v>85</v>
      </c>
      <c r="B40" t="s">
        <v>498</v>
      </c>
      <c r="C40" s="2">
        <v>3150</v>
      </c>
    </row>
    <row r="41" spans="1:3" x14ac:dyDescent="0.25">
      <c r="A41" t="s">
        <v>85</v>
      </c>
      <c r="B41" t="s">
        <v>195</v>
      </c>
      <c r="C41" s="2">
        <v>55441379.939999998</v>
      </c>
    </row>
    <row r="42" spans="1:3" x14ac:dyDescent="0.25">
      <c r="A42" t="s">
        <v>85</v>
      </c>
      <c r="B42" t="s">
        <v>196</v>
      </c>
      <c r="C42" s="2">
        <v>54914912.369999997</v>
      </c>
    </row>
    <row r="43" spans="1:3" x14ac:dyDescent="0.25">
      <c r="A43" t="s">
        <v>85</v>
      </c>
      <c r="B43" t="s">
        <v>427</v>
      </c>
      <c r="C43" s="2">
        <v>24496679.449999999</v>
      </c>
    </row>
    <row r="44" spans="1:3" x14ac:dyDescent="0.25">
      <c r="A44" t="s">
        <v>85</v>
      </c>
      <c r="B44" t="s">
        <v>499</v>
      </c>
      <c r="C44" s="2">
        <v>30418232.920000002</v>
      </c>
    </row>
    <row r="45" spans="1:3" x14ac:dyDescent="0.25">
      <c r="A45" t="s">
        <v>85</v>
      </c>
      <c r="B45" t="s">
        <v>267</v>
      </c>
      <c r="C45" s="2">
        <v>526467.56999999995</v>
      </c>
    </row>
    <row r="46" spans="1:3" x14ac:dyDescent="0.25">
      <c r="A46" t="s">
        <v>85</v>
      </c>
      <c r="B46" t="s">
        <v>199</v>
      </c>
      <c r="C46" s="2">
        <v>520010</v>
      </c>
    </row>
    <row r="47" spans="1:3" x14ac:dyDescent="0.25">
      <c r="A47" t="s">
        <v>85</v>
      </c>
      <c r="B47" t="s">
        <v>428</v>
      </c>
      <c r="C47" s="2">
        <v>520010</v>
      </c>
    </row>
    <row r="48" spans="1:3" x14ac:dyDescent="0.25">
      <c r="A48" t="s">
        <v>85</v>
      </c>
      <c r="B48" t="s">
        <v>429</v>
      </c>
      <c r="C48" s="2">
        <v>520010</v>
      </c>
    </row>
    <row r="49" spans="1:7" x14ac:dyDescent="0.25">
      <c r="A49" t="s">
        <v>85</v>
      </c>
      <c r="B49" t="s">
        <v>430</v>
      </c>
      <c r="C49" s="2">
        <v>520010</v>
      </c>
    </row>
    <row r="50" spans="1:7" x14ac:dyDescent="0.25">
      <c r="A50" t="s">
        <v>85</v>
      </c>
      <c r="B50" t="s">
        <v>268</v>
      </c>
      <c r="C50" s="2">
        <v>10446934.140000001</v>
      </c>
    </row>
    <row r="51" spans="1:7" x14ac:dyDescent="0.25">
      <c r="A51" t="s">
        <v>85</v>
      </c>
      <c r="B51" t="s">
        <v>269</v>
      </c>
      <c r="C51" s="2">
        <v>9980067.1199999992</v>
      </c>
    </row>
    <row r="52" spans="1:7" x14ac:dyDescent="0.25">
      <c r="A52" t="s">
        <v>85</v>
      </c>
      <c r="B52" t="s">
        <v>431</v>
      </c>
      <c r="C52" s="2">
        <v>9980067.1199999992</v>
      </c>
    </row>
    <row r="53" spans="1:7" x14ac:dyDescent="0.25">
      <c r="A53" t="s">
        <v>85</v>
      </c>
      <c r="B53" t="s">
        <v>500</v>
      </c>
      <c r="C53" s="2">
        <v>9980067.1199999992</v>
      </c>
    </row>
    <row r="54" spans="1:7" x14ac:dyDescent="0.25">
      <c r="A54" t="s">
        <v>85</v>
      </c>
      <c r="B54" t="s">
        <v>271</v>
      </c>
      <c r="C54" s="2">
        <v>466867.02</v>
      </c>
    </row>
    <row r="55" spans="1:7" x14ac:dyDescent="0.25">
      <c r="A55" t="s">
        <v>85</v>
      </c>
      <c r="B55" t="s">
        <v>200</v>
      </c>
      <c r="C55" s="2">
        <v>1118498696.03</v>
      </c>
    </row>
    <row r="56" spans="1:7" x14ac:dyDescent="0.25">
      <c r="A56" t="s">
        <v>85</v>
      </c>
      <c r="B56" t="s">
        <v>201</v>
      </c>
      <c r="C56" s="2">
        <v>349195515.64999998</v>
      </c>
    </row>
    <row r="57" spans="1:7" x14ac:dyDescent="0.25">
      <c r="A57" t="s">
        <v>85</v>
      </c>
      <c r="B57" t="s">
        <v>433</v>
      </c>
      <c r="C57" s="2">
        <v>166733372.66</v>
      </c>
    </row>
    <row r="58" spans="1:7" x14ac:dyDescent="0.25">
      <c r="A58" t="s">
        <v>85</v>
      </c>
      <c r="B58" t="s">
        <v>434</v>
      </c>
      <c r="C58" s="2">
        <v>166641752.53</v>
      </c>
    </row>
    <row r="59" spans="1:7" x14ac:dyDescent="0.25">
      <c r="A59" t="s">
        <v>85</v>
      </c>
      <c r="B59" t="s">
        <v>435</v>
      </c>
      <c r="C59" s="2">
        <v>152545930.86000001</v>
      </c>
    </row>
    <row r="60" spans="1:7" x14ac:dyDescent="0.25">
      <c r="A60" t="s">
        <v>85</v>
      </c>
      <c r="B60" t="s">
        <v>436</v>
      </c>
      <c r="C60" s="2">
        <v>7814315.0099999998</v>
      </c>
    </row>
    <row r="61" spans="1:7" x14ac:dyDescent="0.25">
      <c r="A61" t="s">
        <v>85</v>
      </c>
      <c r="B61" t="s">
        <v>437</v>
      </c>
      <c r="C61" s="2">
        <v>6281506.6600000001</v>
      </c>
    </row>
    <row r="62" spans="1:7" x14ac:dyDescent="0.25">
      <c r="A62" t="s">
        <v>85</v>
      </c>
      <c r="B62" t="s">
        <v>438</v>
      </c>
      <c r="C62" s="2">
        <v>91620.13</v>
      </c>
    </row>
    <row r="63" spans="1:7" x14ac:dyDescent="0.25">
      <c r="A63" t="s">
        <v>85</v>
      </c>
      <c r="B63" t="s">
        <v>439</v>
      </c>
      <c r="C63" s="2">
        <v>16851079.75</v>
      </c>
    </row>
    <row r="64" spans="1:7" x14ac:dyDescent="0.25">
      <c r="A64" t="s">
        <v>85</v>
      </c>
      <c r="B64" t="s">
        <v>440</v>
      </c>
      <c r="C64" s="2">
        <v>72932.52</v>
      </c>
      <c r="G64" s="1"/>
    </row>
    <row r="65" spans="1:7" x14ac:dyDescent="0.25">
      <c r="A65" t="s">
        <v>85</v>
      </c>
      <c r="B65" t="s">
        <v>441</v>
      </c>
      <c r="C65" s="2">
        <v>12310547.189999999</v>
      </c>
      <c r="G65" s="1"/>
    </row>
    <row r="66" spans="1:7" x14ac:dyDescent="0.25">
      <c r="A66" t="s">
        <v>85</v>
      </c>
      <c r="B66" t="s">
        <v>501</v>
      </c>
      <c r="C66" s="2">
        <v>6705912.21</v>
      </c>
    </row>
    <row r="67" spans="1:7" x14ac:dyDescent="0.25">
      <c r="A67" t="s">
        <v>85</v>
      </c>
      <c r="B67" t="s">
        <v>502</v>
      </c>
      <c r="C67" s="2">
        <v>1908545.95</v>
      </c>
    </row>
    <row r="68" spans="1:7" x14ac:dyDescent="0.25">
      <c r="A68" t="s">
        <v>85</v>
      </c>
      <c r="B68" t="s">
        <v>442</v>
      </c>
      <c r="C68" s="2">
        <v>3696089.03</v>
      </c>
    </row>
    <row r="69" spans="1:7" x14ac:dyDescent="0.25">
      <c r="A69" t="s">
        <v>85</v>
      </c>
      <c r="B69" t="s">
        <v>503</v>
      </c>
      <c r="C69" s="2">
        <v>4467600.04</v>
      </c>
    </row>
    <row r="70" spans="1:7" x14ac:dyDescent="0.25">
      <c r="A70" t="s">
        <v>85</v>
      </c>
      <c r="B70" t="s">
        <v>443</v>
      </c>
      <c r="C70" s="2">
        <v>94871082.420000002</v>
      </c>
    </row>
    <row r="71" spans="1:7" x14ac:dyDescent="0.25">
      <c r="A71" t="s">
        <v>85</v>
      </c>
      <c r="B71" t="s">
        <v>444</v>
      </c>
      <c r="C71" s="2">
        <v>94871082.420000002</v>
      </c>
    </row>
    <row r="72" spans="1:7" x14ac:dyDescent="0.25">
      <c r="A72" t="s">
        <v>85</v>
      </c>
      <c r="B72" t="s">
        <v>445</v>
      </c>
      <c r="C72" s="2">
        <v>51699395.270000003</v>
      </c>
    </row>
    <row r="73" spans="1:7" x14ac:dyDescent="0.25">
      <c r="A73" t="s">
        <v>85</v>
      </c>
      <c r="B73" t="s">
        <v>446</v>
      </c>
      <c r="C73" s="2">
        <v>34704404.359999999</v>
      </c>
    </row>
    <row r="74" spans="1:7" x14ac:dyDescent="0.25">
      <c r="A74" t="s">
        <v>85</v>
      </c>
      <c r="B74" t="s">
        <v>447</v>
      </c>
      <c r="C74" s="2">
        <v>6324977.9000000004</v>
      </c>
    </row>
    <row r="75" spans="1:7" x14ac:dyDescent="0.25">
      <c r="A75" t="s">
        <v>85</v>
      </c>
      <c r="B75" t="s">
        <v>448</v>
      </c>
      <c r="C75" s="2">
        <v>2087941.42</v>
      </c>
    </row>
    <row r="76" spans="1:7" x14ac:dyDescent="0.25">
      <c r="A76" t="s">
        <v>85</v>
      </c>
      <c r="B76" t="s">
        <v>449</v>
      </c>
      <c r="C76" s="2">
        <v>54363.47</v>
      </c>
    </row>
    <row r="77" spans="1:7" x14ac:dyDescent="0.25">
      <c r="A77" t="s">
        <v>85</v>
      </c>
      <c r="B77" t="s">
        <v>451</v>
      </c>
      <c r="C77" s="2">
        <v>7926923.96</v>
      </c>
    </row>
    <row r="78" spans="1:7" x14ac:dyDescent="0.25">
      <c r="A78" t="s">
        <v>85</v>
      </c>
      <c r="B78" t="s">
        <v>452</v>
      </c>
      <c r="C78" s="2">
        <v>4602728.9400000004</v>
      </c>
    </row>
    <row r="79" spans="1:7" x14ac:dyDescent="0.25">
      <c r="A79" t="s">
        <v>85</v>
      </c>
      <c r="B79" t="s">
        <v>453</v>
      </c>
      <c r="C79" s="2">
        <v>11040</v>
      </c>
    </row>
    <row r="80" spans="1:7" x14ac:dyDescent="0.25">
      <c r="A80" t="s">
        <v>85</v>
      </c>
      <c r="B80" t="s">
        <v>454</v>
      </c>
      <c r="C80" s="2">
        <v>3182762</v>
      </c>
    </row>
    <row r="81" spans="1:3" x14ac:dyDescent="0.25">
      <c r="A81" t="s">
        <v>85</v>
      </c>
      <c r="B81" t="s">
        <v>455</v>
      </c>
      <c r="C81" s="2">
        <v>130393.02</v>
      </c>
    </row>
    <row r="82" spans="1:3" x14ac:dyDescent="0.25">
      <c r="A82" t="s">
        <v>85</v>
      </c>
      <c r="B82" t="s">
        <v>456</v>
      </c>
      <c r="C82" s="2">
        <v>52888786.5</v>
      </c>
    </row>
    <row r="83" spans="1:3" x14ac:dyDescent="0.25">
      <c r="A83" t="s">
        <v>85</v>
      </c>
      <c r="B83" t="s">
        <v>457</v>
      </c>
      <c r="C83" s="2">
        <v>3734431.71</v>
      </c>
    </row>
    <row r="84" spans="1:3" x14ac:dyDescent="0.25">
      <c r="A84" t="s">
        <v>85</v>
      </c>
      <c r="B84" t="s">
        <v>458</v>
      </c>
      <c r="C84" s="2">
        <v>1329341.42</v>
      </c>
    </row>
    <row r="85" spans="1:3" x14ac:dyDescent="0.25">
      <c r="A85" t="s">
        <v>85</v>
      </c>
      <c r="B85" t="s">
        <v>459</v>
      </c>
      <c r="C85" s="2">
        <v>1329341.42</v>
      </c>
    </row>
    <row r="86" spans="1:3" x14ac:dyDescent="0.25">
      <c r="A86" t="s">
        <v>85</v>
      </c>
      <c r="B86" t="s">
        <v>460</v>
      </c>
      <c r="C86" s="2">
        <v>4860497.2300000004</v>
      </c>
    </row>
    <row r="87" spans="1:3" x14ac:dyDescent="0.25">
      <c r="A87" t="s">
        <v>85</v>
      </c>
      <c r="B87" t="s">
        <v>461</v>
      </c>
      <c r="C87" s="2">
        <v>2911568.28</v>
      </c>
    </row>
    <row r="88" spans="1:3" x14ac:dyDescent="0.25">
      <c r="A88" t="s">
        <v>85</v>
      </c>
      <c r="B88" t="s">
        <v>462</v>
      </c>
      <c r="C88" s="2">
        <v>1948928.95</v>
      </c>
    </row>
    <row r="89" spans="1:3" x14ac:dyDescent="0.25">
      <c r="A89" t="s">
        <v>85</v>
      </c>
      <c r="B89" t="s">
        <v>223</v>
      </c>
      <c r="C89" s="2">
        <v>626219403.22000003</v>
      </c>
    </row>
    <row r="90" spans="1:3" x14ac:dyDescent="0.25">
      <c r="A90" t="s">
        <v>85</v>
      </c>
      <c r="B90" t="s">
        <v>463</v>
      </c>
      <c r="C90" s="2">
        <v>623570085.22000003</v>
      </c>
    </row>
    <row r="91" spans="1:3" x14ac:dyDescent="0.25">
      <c r="A91" t="s">
        <v>85</v>
      </c>
      <c r="B91" t="s">
        <v>464</v>
      </c>
      <c r="C91" s="2">
        <v>594671627.88</v>
      </c>
    </row>
    <row r="92" spans="1:3" x14ac:dyDescent="0.25">
      <c r="A92" t="s">
        <v>85</v>
      </c>
      <c r="B92" t="s">
        <v>465</v>
      </c>
      <c r="C92" s="2">
        <v>24383564.469999999</v>
      </c>
    </row>
    <row r="93" spans="1:3" x14ac:dyDescent="0.25">
      <c r="A93" t="s">
        <v>85</v>
      </c>
      <c r="B93" t="s">
        <v>466</v>
      </c>
      <c r="C93" s="2">
        <v>3916185.21</v>
      </c>
    </row>
    <row r="94" spans="1:3" x14ac:dyDescent="0.25">
      <c r="A94" t="s">
        <v>85</v>
      </c>
      <c r="B94" t="s">
        <v>467</v>
      </c>
      <c r="C94" s="2">
        <v>166457.64000000001</v>
      </c>
    </row>
    <row r="95" spans="1:3" x14ac:dyDescent="0.25">
      <c r="A95" t="s">
        <v>85</v>
      </c>
      <c r="B95" t="s">
        <v>504</v>
      </c>
      <c r="C95" s="2">
        <v>432250.02</v>
      </c>
    </row>
    <row r="96" spans="1:3" x14ac:dyDescent="0.25">
      <c r="A96" t="s">
        <v>85</v>
      </c>
      <c r="B96" t="s">
        <v>470</v>
      </c>
      <c r="C96" s="2">
        <v>2109350</v>
      </c>
    </row>
    <row r="97" spans="1:3" x14ac:dyDescent="0.25">
      <c r="A97" t="s">
        <v>85</v>
      </c>
      <c r="B97" t="s">
        <v>471</v>
      </c>
      <c r="C97" s="2">
        <v>539968</v>
      </c>
    </row>
    <row r="98" spans="1:3" x14ac:dyDescent="0.25">
      <c r="A98" t="s">
        <v>85</v>
      </c>
      <c r="B98" t="s">
        <v>472</v>
      </c>
      <c r="C98" s="2">
        <v>539968</v>
      </c>
    </row>
    <row r="99" spans="1:3" x14ac:dyDescent="0.25">
      <c r="A99" t="s">
        <v>85</v>
      </c>
      <c r="B99" t="s">
        <v>232</v>
      </c>
      <c r="C99" s="2">
        <v>327589.48</v>
      </c>
    </row>
    <row r="100" spans="1:3" x14ac:dyDescent="0.25">
      <c r="A100" t="s">
        <v>85</v>
      </c>
      <c r="B100" t="s">
        <v>474</v>
      </c>
      <c r="C100" s="2">
        <v>327589.48</v>
      </c>
    </row>
    <row r="101" spans="1:3" x14ac:dyDescent="0.25">
      <c r="A101" t="s">
        <v>85</v>
      </c>
      <c r="B101" t="s">
        <v>505</v>
      </c>
      <c r="C101" s="2">
        <v>327589.48</v>
      </c>
    </row>
    <row r="102" spans="1:3" x14ac:dyDescent="0.25">
      <c r="A102" t="s">
        <v>85</v>
      </c>
      <c r="B102" t="s">
        <v>234</v>
      </c>
      <c r="C102" s="2">
        <v>142739437.03999999</v>
      </c>
    </row>
    <row r="103" spans="1:3" x14ac:dyDescent="0.25">
      <c r="A103" t="s">
        <v>85</v>
      </c>
      <c r="B103" t="s">
        <v>476</v>
      </c>
      <c r="C103" s="2">
        <v>142739437.03999999</v>
      </c>
    </row>
    <row r="104" spans="1:3" x14ac:dyDescent="0.25">
      <c r="A104" t="s">
        <v>85</v>
      </c>
      <c r="B104" t="s">
        <v>506</v>
      </c>
      <c r="C104" s="2">
        <v>16750.64</v>
      </c>
    </row>
    <row r="105" spans="1:3" x14ac:dyDescent="0.25">
      <c r="A105" t="s">
        <v>85</v>
      </c>
      <c r="B105" t="s">
        <v>507</v>
      </c>
      <c r="C105" s="2">
        <v>16750.64</v>
      </c>
    </row>
    <row r="106" spans="1:3" x14ac:dyDescent="0.25">
      <c r="A106" t="s">
        <v>85</v>
      </c>
      <c r="B106" t="s">
        <v>237</v>
      </c>
      <c r="C106" s="2">
        <v>14498268.09</v>
      </c>
    </row>
    <row r="107" spans="1:3" x14ac:dyDescent="0.25">
      <c r="A107" t="s">
        <v>85</v>
      </c>
      <c r="B107" t="s">
        <v>238</v>
      </c>
      <c r="C107" s="2">
        <v>2383048.41</v>
      </c>
    </row>
    <row r="108" spans="1:3" x14ac:dyDescent="0.25">
      <c r="A108" t="s">
        <v>85</v>
      </c>
      <c r="B108" t="s">
        <v>477</v>
      </c>
      <c r="C108" s="2">
        <v>2383048.41</v>
      </c>
    </row>
    <row r="109" spans="1:3" x14ac:dyDescent="0.25">
      <c r="A109" t="s">
        <v>85</v>
      </c>
      <c r="B109" t="s">
        <v>478</v>
      </c>
      <c r="C109" s="2">
        <v>2027303.06</v>
      </c>
    </row>
    <row r="110" spans="1:3" x14ac:dyDescent="0.25">
      <c r="A110" t="s">
        <v>85</v>
      </c>
      <c r="B110" t="s">
        <v>479</v>
      </c>
      <c r="C110" s="2">
        <v>52561.24</v>
      </c>
    </row>
    <row r="111" spans="1:3" x14ac:dyDescent="0.25">
      <c r="A111" t="s">
        <v>85</v>
      </c>
      <c r="B111" t="s">
        <v>508</v>
      </c>
      <c r="C111" s="2">
        <v>303184.11</v>
      </c>
    </row>
    <row r="112" spans="1:3" x14ac:dyDescent="0.25">
      <c r="A112" t="s">
        <v>85</v>
      </c>
      <c r="B112" t="s">
        <v>509</v>
      </c>
      <c r="C112" s="2">
        <v>303184.11</v>
      </c>
    </row>
    <row r="113" spans="1:3" x14ac:dyDescent="0.25">
      <c r="A113" t="s">
        <v>85</v>
      </c>
      <c r="B113" t="s">
        <v>239</v>
      </c>
      <c r="C113" s="2">
        <v>2332883.79</v>
      </c>
    </row>
    <row r="114" spans="1:3" x14ac:dyDescent="0.25">
      <c r="A114" t="s">
        <v>85</v>
      </c>
      <c r="B114" t="s">
        <v>241</v>
      </c>
      <c r="C114" s="2">
        <v>1853398.09</v>
      </c>
    </row>
    <row r="115" spans="1:3" x14ac:dyDescent="0.25">
      <c r="A115" t="s">
        <v>85</v>
      </c>
      <c r="B115" t="s">
        <v>280</v>
      </c>
      <c r="C115" s="2">
        <v>514114.78</v>
      </c>
    </row>
    <row r="116" spans="1:3" x14ac:dyDescent="0.25">
      <c r="A116" t="s">
        <v>85</v>
      </c>
      <c r="B116" t="s">
        <v>510</v>
      </c>
      <c r="C116" s="2">
        <v>178906.75</v>
      </c>
    </row>
    <row r="117" spans="1:3" x14ac:dyDescent="0.25">
      <c r="A117" t="s">
        <v>85</v>
      </c>
      <c r="B117" t="s">
        <v>242</v>
      </c>
      <c r="C117" s="2">
        <v>1160376.56</v>
      </c>
    </row>
    <row r="118" spans="1:3" x14ac:dyDescent="0.25">
      <c r="A118" t="s">
        <v>85</v>
      </c>
      <c r="B118" t="s">
        <v>330</v>
      </c>
      <c r="C118" s="2">
        <v>479485.7</v>
      </c>
    </row>
    <row r="119" spans="1:3" x14ac:dyDescent="0.25">
      <c r="A119" t="s">
        <v>85</v>
      </c>
      <c r="B119" t="s">
        <v>331</v>
      </c>
      <c r="C119" s="2">
        <v>479485.7</v>
      </c>
    </row>
    <row r="120" spans="1:3" x14ac:dyDescent="0.25">
      <c r="A120" t="s">
        <v>85</v>
      </c>
      <c r="B120" t="s">
        <v>243</v>
      </c>
      <c r="C120" s="2">
        <v>9782335.8900000006</v>
      </c>
    </row>
    <row r="121" spans="1:3" x14ac:dyDescent="0.25">
      <c r="A121" t="s">
        <v>85</v>
      </c>
      <c r="B121" t="s">
        <v>511</v>
      </c>
      <c r="C121" s="2">
        <v>9782335.8900000006</v>
      </c>
    </row>
    <row r="122" spans="1:3" x14ac:dyDescent="0.25">
      <c r="A122" t="s">
        <v>85</v>
      </c>
      <c r="B122" t="s">
        <v>512</v>
      </c>
      <c r="C122" s="2">
        <v>9722865.5199999996</v>
      </c>
    </row>
    <row r="123" spans="1:3" x14ac:dyDescent="0.25">
      <c r="A123" t="s">
        <v>85</v>
      </c>
      <c r="B123" t="s">
        <v>513</v>
      </c>
      <c r="C123" s="2">
        <v>59470.37</v>
      </c>
    </row>
    <row r="124" spans="1:3" x14ac:dyDescent="0.25">
      <c r="A124" t="s">
        <v>85</v>
      </c>
      <c r="B124" t="s">
        <v>514</v>
      </c>
      <c r="C124" s="2">
        <v>59470.37</v>
      </c>
    </row>
    <row r="125" spans="1:3" x14ac:dyDescent="0.25">
      <c r="A125" t="s">
        <v>85</v>
      </c>
      <c r="B125" t="s">
        <v>246</v>
      </c>
      <c r="C125" s="2">
        <v>34981839.729999997</v>
      </c>
    </row>
    <row r="126" spans="1:3" x14ac:dyDescent="0.25">
      <c r="A126" t="s">
        <v>85</v>
      </c>
      <c r="B126" t="s">
        <v>247</v>
      </c>
      <c r="C126" s="2">
        <v>34462628.159999996</v>
      </c>
    </row>
    <row r="127" spans="1:3" x14ac:dyDescent="0.25">
      <c r="A127" t="s">
        <v>85</v>
      </c>
      <c r="B127" t="s">
        <v>248</v>
      </c>
      <c r="C127" s="2">
        <v>571097.64</v>
      </c>
    </row>
    <row r="128" spans="1:3" x14ac:dyDescent="0.25">
      <c r="A128" t="s">
        <v>85</v>
      </c>
      <c r="B128" t="s">
        <v>480</v>
      </c>
      <c r="C128" s="2">
        <v>571097.64</v>
      </c>
    </row>
    <row r="129" spans="1:3" x14ac:dyDescent="0.25">
      <c r="A129" t="s">
        <v>85</v>
      </c>
      <c r="B129" t="s">
        <v>515</v>
      </c>
      <c r="C129" s="2">
        <v>571097.64</v>
      </c>
    </row>
    <row r="130" spans="1:3" x14ac:dyDescent="0.25">
      <c r="A130" t="s">
        <v>85</v>
      </c>
      <c r="B130" t="s">
        <v>333</v>
      </c>
      <c r="C130" s="2">
        <v>33891530.520000003</v>
      </c>
    </row>
    <row r="131" spans="1:3" x14ac:dyDescent="0.25">
      <c r="A131" t="s">
        <v>85</v>
      </c>
      <c r="B131" t="s">
        <v>516</v>
      </c>
      <c r="C131" s="2">
        <v>33891530.520000003</v>
      </c>
    </row>
    <row r="132" spans="1:3" x14ac:dyDescent="0.25">
      <c r="A132" t="s">
        <v>85</v>
      </c>
      <c r="B132" t="s">
        <v>517</v>
      </c>
      <c r="C132" s="2">
        <v>22778015.75</v>
      </c>
    </row>
    <row r="133" spans="1:3" x14ac:dyDescent="0.25">
      <c r="A133" t="s">
        <v>85</v>
      </c>
      <c r="B133" t="s">
        <v>518</v>
      </c>
      <c r="C133" s="2">
        <v>11113514.77</v>
      </c>
    </row>
    <row r="134" spans="1:3" x14ac:dyDescent="0.25">
      <c r="A134" t="s">
        <v>85</v>
      </c>
      <c r="B134" t="s">
        <v>253</v>
      </c>
      <c r="C134" s="2">
        <v>519211.57</v>
      </c>
    </row>
    <row r="135" spans="1:3" x14ac:dyDescent="0.25">
      <c r="A135" t="s">
        <v>85</v>
      </c>
      <c r="B135" t="s">
        <v>254</v>
      </c>
      <c r="C135" s="2">
        <v>519211.57</v>
      </c>
    </row>
    <row r="136" spans="1:3" x14ac:dyDescent="0.25">
      <c r="A136" t="s">
        <v>85</v>
      </c>
      <c r="B136" t="s">
        <v>519</v>
      </c>
      <c r="C136" s="2">
        <v>60808</v>
      </c>
    </row>
    <row r="137" spans="1:3" x14ac:dyDescent="0.25">
      <c r="A137" t="s">
        <v>85</v>
      </c>
      <c r="B137" t="s">
        <v>520</v>
      </c>
      <c r="C137" s="2">
        <v>60808</v>
      </c>
    </row>
    <row r="138" spans="1:3" x14ac:dyDescent="0.25">
      <c r="A138" t="s">
        <v>85</v>
      </c>
      <c r="B138" t="s">
        <v>521</v>
      </c>
      <c r="C138" s="2">
        <v>60808</v>
      </c>
    </row>
    <row r="139" spans="1:3" x14ac:dyDescent="0.25">
      <c r="A139" t="s">
        <v>85</v>
      </c>
      <c r="B139" t="s">
        <v>483</v>
      </c>
      <c r="C139" s="2">
        <v>458403.57</v>
      </c>
    </row>
    <row r="140" spans="1:3" x14ac:dyDescent="0.25">
      <c r="A140" t="s">
        <v>85</v>
      </c>
      <c r="B140" t="s">
        <v>486</v>
      </c>
      <c r="C140" s="2">
        <v>458403.57</v>
      </c>
    </row>
    <row r="141" spans="1:3" x14ac:dyDescent="0.25">
      <c r="A141" t="s">
        <v>85</v>
      </c>
      <c r="B141" t="s">
        <v>335</v>
      </c>
      <c r="C141" s="2">
        <v>88321843.379999995</v>
      </c>
    </row>
    <row r="142" spans="1:3" x14ac:dyDescent="0.25">
      <c r="A142" t="s">
        <v>85</v>
      </c>
      <c r="B142" t="s">
        <v>336</v>
      </c>
      <c r="C142" s="2">
        <v>88321843.379999995</v>
      </c>
    </row>
    <row r="143" spans="1:3" x14ac:dyDescent="0.25">
      <c r="A143" t="s">
        <v>85</v>
      </c>
      <c r="B143" t="s">
        <v>337</v>
      </c>
      <c r="C143" s="2">
        <v>88321843.379999995</v>
      </c>
    </row>
    <row r="144" spans="1:3" x14ac:dyDescent="0.25">
      <c r="A144" t="s">
        <v>85</v>
      </c>
      <c r="B144" t="s">
        <v>338</v>
      </c>
      <c r="C144" s="2">
        <v>88321843.379999995</v>
      </c>
    </row>
    <row r="145" spans="1:3" x14ac:dyDescent="0.25">
      <c r="A145" t="s">
        <v>85</v>
      </c>
      <c r="B145" t="s">
        <v>522</v>
      </c>
      <c r="C145" s="2">
        <v>88321843.379999995</v>
      </c>
    </row>
    <row r="146" spans="1:3" x14ac:dyDescent="0.25">
      <c r="A146" t="s">
        <v>85</v>
      </c>
      <c r="B146" t="s">
        <v>523</v>
      </c>
      <c r="C146" s="2">
        <v>73464640.620000005</v>
      </c>
    </row>
    <row r="147" spans="1:3" x14ac:dyDescent="0.25">
      <c r="A147" t="s">
        <v>85</v>
      </c>
      <c r="B147" t="s">
        <v>524</v>
      </c>
      <c r="C147" s="2">
        <v>73464640.620000005</v>
      </c>
    </row>
    <row r="148" spans="1:3" x14ac:dyDescent="0.25">
      <c r="A148" t="s">
        <v>85</v>
      </c>
      <c r="B148" t="s">
        <v>525</v>
      </c>
      <c r="C148" s="2">
        <v>14857202.76</v>
      </c>
    </row>
    <row r="149" spans="1:3" x14ac:dyDescent="0.25">
      <c r="A149" t="s">
        <v>85</v>
      </c>
      <c r="B149" t="s">
        <v>526</v>
      </c>
      <c r="C149" s="2">
        <v>14857202.76</v>
      </c>
    </row>
    <row r="150" spans="1:3" x14ac:dyDescent="0.25">
      <c r="A150" t="s">
        <v>85</v>
      </c>
      <c r="B150" t="s">
        <v>318</v>
      </c>
      <c r="C150" s="2">
        <v>2046829234.02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5.5703125" customWidth="1"/>
    <col min="2" max="2" width="101.42578125" customWidth="1"/>
    <col min="3" max="3" width="18" bestFit="1" customWidth="1"/>
    <col min="4" max="4" width="13" customWidth="1"/>
    <col min="5" max="5" width="17.42578125" bestFit="1" customWidth="1"/>
    <col min="6" max="6" width="18" bestFit="1" customWidth="1"/>
    <col min="7" max="7" width="13" customWidth="1"/>
    <col min="8" max="8" width="16.85546875" bestFit="1" customWidth="1"/>
    <col min="9" max="10" width="13" customWidth="1"/>
  </cols>
  <sheetData>
    <row r="1" spans="1:6" x14ac:dyDescent="0.25">
      <c r="A1" t="s">
        <v>527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6</v>
      </c>
      <c r="B5" t="s">
        <v>290</v>
      </c>
      <c r="C5" s="2">
        <v>897856861.63</v>
      </c>
      <c r="E5" s="2" t="s">
        <v>7</v>
      </c>
      <c r="F5" s="2">
        <f>C5</f>
        <v>897856861.63</v>
      </c>
    </row>
    <row r="6" spans="1:6" x14ac:dyDescent="0.25">
      <c r="A6" t="s">
        <v>6</v>
      </c>
      <c r="B6" t="s">
        <v>174</v>
      </c>
      <c r="C6" s="2">
        <v>814735182.16999996</v>
      </c>
      <c r="E6" s="2" t="s">
        <v>9</v>
      </c>
      <c r="F6" s="2">
        <f>C7</f>
        <v>134245403.77000001</v>
      </c>
    </row>
    <row r="7" spans="1:6" x14ac:dyDescent="0.25">
      <c r="A7" t="s">
        <v>6</v>
      </c>
      <c r="B7" t="s">
        <v>175</v>
      </c>
      <c r="C7" s="2">
        <v>134245403.77000001</v>
      </c>
      <c r="E7" s="2" t="s">
        <v>11</v>
      </c>
      <c r="F7" s="2">
        <f>C10</f>
        <v>15470082.869999999</v>
      </c>
    </row>
    <row r="8" spans="1:6" x14ac:dyDescent="0.25">
      <c r="A8" t="s">
        <v>6</v>
      </c>
      <c r="B8" t="s">
        <v>176</v>
      </c>
      <c r="C8" s="2">
        <v>124450387.29000001</v>
      </c>
      <c r="E8" s="2" t="s">
        <v>13</v>
      </c>
      <c r="F8" s="2">
        <f>C11</f>
        <v>13553858.6</v>
      </c>
    </row>
    <row r="9" spans="1:6" x14ac:dyDescent="0.25">
      <c r="A9" t="s">
        <v>6</v>
      </c>
      <c r="B9" t="s">
        <v>421</v>
      </c>
      <c r="C9" s="2">
        <v>29023941.469999999</v>
      </c>
      <c r="E9" s="2" t="s">
        <v>15</v>
      </c>
      <c r="F9" s="2">
        <f>C18</f>
        <v>58821543.25</v>
      </c>
    </row>
    <row r="10" spans="1:6" x14ac:dyDescent="0.25">
      <c r="A10" t="s">
        <v>6</v>
      </c>
      <c r="B10" t="s">
        <v>422</v>
      </c>
      <c r="C10" s="2">
        <v>15470082.869999999</v>
      </c>
      <c r="E10" s="2" t="s">
        <v>121</v>
      </c>
      <c r="F10" s="2">
        <f>C33</f>
        <v>650681469.26999998</v>
      </c>
    </row>
    <row r="11" spans="1:6" x14ac:dyDescent="0.25">
      <c r="A11" t="s">
        <v>6</v>
      </c>
      <c r="B11" t="s">
        <v>423</v>
      </c>
      <c r="C11" s="2">
        <v>13553858.6</v>
      </c>
      <c r="E11" s="2" t="s">
        <v>19</v>
      </c>
      <c r="F11" s="2">
        <f>C36</f>
        <v>170715069.77000001</v>
      </c>
    </row>
    <row r="12" spans="1:6" x14ac:dyDescent="0.25">
      <c r="A12" t="s">
        <v>6</v>
      </c>
      <c r="B12" t="s">
        <v>177</v>
      </c>
      <c r="C12" s="2">
        <v>36604902.57</v>
      </c>
      <c r="E12" s="2" t="s">
        <v>21</v>
      </c>
      <c r="F12" s="2">
        <f>C67</f>
        <v>158026521.43000001</v>
      </c>
    </row>
    <row r="13" spans="1:6" x14ac:dyDescent="0.25">
      <c r="A13" t="s">
        <v>6</v>
      </c>
      <c r="B13" t="s">
        <v>178</v>
      </c>
      <c r="C13" s="2">
        <v>36604902.57</v>
      </c>
      <c r="E13" s="2" t="s">
        <v>23</v>
      </c>
      <c r="F13" s="2">
        <f>SUM(C58,C82)</f>
        <v>153614454.17000002</v>
      </c>
    </row>
    <row r="14" spans="1:6" x14ac:dyDescent="0.25">
      <c r="A14" t="s">
        <v>6</v>
      </c>
      <c r="B14" t="s">
        <v>179</v>
      </c>
      <c r="C14" s="2">
        <v>32424251.68</v>
      </c>
      <c r="E14" s="2" t="s">
        <v>25</v>
      </c>
      <c r="F14" s="2">
        <f>C98</f>
        <v>83121679.459999993</v>
      </c>
    </row>
    <row r="15" spans="1:6" x14ac:dyDescent="0.25">
      <c r="A15" t="s">
        <v>6</v>
      </c>
      <c r="B15" t="s">
        <v>180</v>
      </c>
      <c r="C15" s="2">
        <v>4180650.89</v>
      </c>
    </row>
    <row r="16" spans="1:6" x14ac:dyDescent="0.25">
      <c r="A16" t="s">
        <v>6</v>
      </c>
      <c r="B16" t="s">
        <v>424</v>
      </c>
      <c r="C16" s="2">
        <v>58821543.25</v>
      </c>
    </row>
    <row r="17" spans="1:3" x14ac:dyDescent="0.25">
      <c r="A17" t="s">
        <v>6</v>
      </c>
      <c r="B17" t="s">
        <v>425</v>
      </c>
      <c r="C17" s="2">
        <v>58821543.25</v>
      </c>
    </row>
    <row r="18" spans="1:3" x14ac:dyDescent="0.25">
      <c r="A18" t="s">
        <v>6</v>
      </c>
      <c r="B18" t="s">
        <v>426</v>
      </c>
      <c r="C18" s="2">
        <v>58821543.25</v>
      </c>
    </row>
    <row r="19" spans="1:3" x14ac:dyDescent="0.25">
      <c r="A19" t="s">
        <v>6</v>
      </c>
      <c r="B19" t="s">
        <v>187</v>
      </c>
      <c r="C19" s="2">
        <v>9795016.4800000004</v>
      </c>
    </row>
    <row r="20" spans="1:3" x14ac:dyDescent="0.25">
      <c r="A20" t="s">
        <v>6</v>
      </c>
      <c r="B20" t="s">
        <v>188</v>
      </c>
      <c r="C20" s="2">
        <v>9142143.6799999997</v>
      </c>
    </row>
    <row r="21" spans="1:3" x14ac:dyDescent="0.25">
      <c r="A21" t="s">
        <v>6</v>
      </c>
      <c r="B21" t="s">
        <v>189</v>
      </c>
      <c r="C21" s="2">
        <v>8758865.7200000007</v>
      </c>
    </row>
    <row r="22" spans="1:3" x14ac:dyDescent="0.25">
      <c r="A22" t="s">
        <v>6</v>
      </c>
      <c r="B22" t="s">
        <v>291</v>
      </c>
      <c r="C22" s="2">
        <v>383277.96</v>
      </c>
    </row>
    <row r="23" spans="1:3" x14ac:dyDescent="0.25">
      <c r="A23" t="s">
        <v>6</v>
      </c>
      <c r="B23" t="s">
        <v>190</v>
      </c>
      <c r="C23" s="2">
        <v>652872.80000000005</v>
      </c>
    </row>
    <row r="24" spans="1:3" x14ac:dyDescent="0.25">
      <c r="A24" t="s">
        <v>6</v>
      </c>
      <c r="B24" t="s">
        <v>528</v>
      </c>
      <c r="C24" s="2">
        <v>652872.80000000005</v>
      </c>
    </row>
    <row r="25" spans="1:3" x14ac:dyDescent="0.25">
      <c r="A25" t="s">
        <v>6</v>
      </c>
      <c r="B25" t="s">
        <v>192</v>
      </c>
      <c r="C25" s="2">
        <v>10082013.99</v>
      </c>
    </row>
    <row r="26" spans="1:3" x14ac:dyDescent="0.25">
      <c r="A26" t="s">
        <v>6</v>
      </c>
      <c r="B26" t="s">
        <v>193</v>
      </c>
      <c r="C26" s="2">
        <v>10082013.99</v>
      </c>
    </row>
    <row r="27" spans="1:3" x14ac:dyDescent="0.25">
      <c r="A27" t="s">
        <v>6</v>
      </c>
      <c r="B27" t="s">
        <v>194</v>
      </c>
      <c r="C27" s="2">
        <v>16604071.34</v>
      </c>
    </row>
    <row r="28" spans="1:3" x14ac:dyDescent="0.25">
      <c r="A28" t="s">
        <v>6</v>
      </c>
      <c r="B28" t="s">
        <v>195</v>
      </c>
      <c r="C28" s="2">
        <v>7184711</v>
      </c>
    </row>
    <row r="29" spans="1:3" x14ac:dyDescent="0.25">
      <c r="A29" t="s">
        <v>6</v>
      </c>
      <c r="B29" t="s">
        <v>196</v>
      </c>
      <c r="C29" s="2">
        <v>7136160.2000000002</v>
      </c>
    </row>
    <row r="30" spans="1:3" x14ac:dyDescent="0.25">
      <c r="A30" t="s">
        <v>6</v>
      </c>
      <c r="B30" t="s">
        <v>427</v>
      </c>
      <c r="C30" s="2">
        <v>7136160.2000000002</v>
      </c>
    </row>
    <row r="31" spans="1:3" x14ac:dyDescent="0.25">
      <c r="A31" t="s">
        <v>6</v>
      </c>
      <c r="B31" t="s">
        <v>198</v>
      </c>
      <c r="C31" s="2">
        <v>48550.8</v>
      </c>
    </row>
    <row r="32" spans="1:3" x14ac:dyDescent="0.25">
      <c r="A32" t="s">
        <v>6</v>
      </c>
      <c r="B32" t="s">
        <v>295</v>
      </c>
      <c r="C32" s="2">
        <v>9419360.3399999999</v>
      </c>
    </row>
    <row r="33" spans="1:8" x14ac:dyDescent="0.25">
      <c r="A33" t="s">
        <v>6</v>
      </c>
      <c r="B33" t="s">
        <v>200</v>
      </c>
      <c r="C33" s="2">
        <v>650681469.26999998</v>
      </c>
    </row>
    <row r="34" spans="1:8" x14ac:dyDescent="0.25">
      <c r="A34" t="s">
        <v>6</v>
      </c>
      <c r="B34" t="s">
        <v>201</v>
      </c>
      <c r="C34" s="2">
        <v>347207212.86000001</v>
      </c>
    </row>
    <row r="35" spans="1:8" x14ac:dyDescent="0.25">
      <c r="A35" t="s">
        <v>6</v>
      </c>
      <c r="B35" t="s">
        <v>433</v>
      </c>
      <c r="C35" s="2">
        <v>177878382.41999999</v>
      </c>
    </row>
    <row r="36" spans="1:8" x14ac:dyDescent="0.25">
      <c r="A36" t="s">
        <v>6</v>
      </c>
      <c r="B36" t="s">
        <v>434</v>
      </c>
      <c r="C36" s="2">
        <v>170715069.77000001</v>
      </c>
    </row>
    <row r="37" spans="1:8" x14ac:dyDescent="0.25">
      <c r="A37" t="s">
        <v>6</v>
      </c>
      <c r="B37" t="s">
        <v>435</v>
      </c>
      <c r="C37" s="2">
        <v>155462544.06999999</v>
      </c>
    </row>
    <row r="38" spans="1:8" x14ac:dyDescent="0.25">
      <c r="A38" t="s">
        <v>6</v>
      </c>
      <c r="B38" t="s">
        <v>529</v>
      </c>
      <c r="C38" s="2">
        <v>15252525.699999999</v>
      </c>
    </row>
    <row r="39" spans="1:8" x14ac:dyDescent="0.25">
      <c r="A39" t="s">
        <v>6</v>
      </c>
      <c r="B39" t="s">
        <v>438</v>
      </c>
      <c r="C39" s="2">
        <v>7163312.6500000004</v>
      </c>
    </row>
    <row r="40" spans="1:8" x14ac:dyDescent="0.25">
      <c r="A40" t="s">
        <v>6</v>
      </c>
      <c r="B40" t="s">
        <v>439</v>
      </c>
      <c r="C40" s="2">
        <v>3372989.93</v>
      </c>
    </row>
    <row r="41" spans="1:8" x14ac:dyDescent="0.25">
      <c r="A41" t="s">
        <v>6</v>
      </c>
      <c r="B41" t="s">
        <v>440</v>
      </c>
      <c r="C41" s="2">
        <v>49671.09</v>
      </c>
    </row>
    <row r="42" spans="1:8" x14ac:dyDescent="0.25">
      <c r="A42" t="s">
        <v>6</v>
      </c>
      <c r="B42" t="s">
        <v>441</v>
      </c>
      <c r="C42" s="2">
        <v>3323318.84</v>
      </c>
    </row>
    <row r="43" spans="1:8" x14ac:dyDescent="0.25">
      <c r="A43" t="s">
        <v>6</v>
      </c>
      <c r="B43" t="s">
        <v>442</v>
      </c>
      <c r="C43" s="2">
        <v>3323318.84</v>
      </c>
    </row>
    <row r="44" spans="1:8" x14ac:dyDescent="0.25">
      <c r="A44" t="s">
        <v>6</v>
      </c>
      <c r="B44" t="s">
        <v>443</v>
      </c>
      <c r="C44" s="2">
        <v>103659684.92</v>
      </c>
    </row>
    <row r="45" spans="1:8" x14ac:dyDescent="0.25">
      <c r="A45" t="s">
        <v>6</v>
      </c>
      <c r="B45" t="s">
        <v>444</v>
      </c>
      <c r="C45" s="2">
        <v>103659684.92</v>
      </c>
    </row>
    <row r="46" spans="1:8" x14ac:dyDescent="0.25">
      <c r="A46" t="s">
        <v>6</v>
      </c>
      <c r="B46" t="s">
        <v>445</v>
      </c>
      <c r="C46" s="2">
        <v>28604257.34</v>
      </c>
    </row>
    <row r="47" spans="1:8" x14ac:dyDescent="0.25">
      <c r="A47" t="s">
        <v>6</v>
      </c>
      <c r="B47" t="s">
        <v>446</v>
      </c>
      <c r="C47" s="2">
        <v>68261635.879999995</v>
      </c>
      <c r="H47" s="1"/>
    </row>
    <row r="48" spans="1:8" x14ac:dyDescent="0.25">
      <c r="A48" t="s">
        <v>6</v>
      </c>
      <c r="B48" t="s">
        <v>447</v>
      </c>
      <c r="C48" s="2">
        <v>2599152.37</v>
      </c>
      <c r="H48" s="1"/>
    </row>
    <row r="49" spans="1:3" x14ac:dyDescent="0.25">
      <c r="A49" t="s">
        <v>6</v>
      </c>
      <c r="B49" t="s">
        <v>448</v>
      </c>
      <c r="C49" s="2">
        <v>917090.16</v>
      </c>
    </row>
    <row r="50" spans="1:3" x14ac:dyDescent="0.25">
      <c r="A50" t="s">
        <v>6</v>
      </c>
      <c r="B50" t="s">
        <v>449</v>
      </c>
      <c r="C50" s="2">
        <v>3277549.17</v>
      </c>
    </row>
    <row r="51" spans="1:3" x14ac:dyDescent="0.25">
      <c r="A51" t="s">
        <v>6</v>
      </c>
      <c r="B51" t="s">
        <v>451</v>
      </c>
      <c r="C51" s="2">
        <v>10831920.800000001</v>
      </c>
    </row>
    <row r="52" spans="1:3" x14ac:dyDescent="0.25">
      <c r="A52" t="s">
        <v>6</v>
      </c>
      <c r="B52" t="s">
        <v>452</v>
      </c>
      <c r="C52" s="2">
        <v>3874334.62</v>
      </c>
    </row>
    <row r="53" spans="1:3" x14ac:dyDescent="0.25">
      <c r="A53" t="s">
        <v>6</v>
      </c>
      <c r="B53" t="s">
        <v>453</v>
      </c>
      <c r="C53" s="2">
        <v>15660</v>
      </c>
    </row>
    <row r="54" spans="1:3" x14ac:dyDescent="0.25">
      <c r="A54" t="s">
        <v>6</v>
      </c>
      <c r="B54" t="s">
        <v>454</v>
      </c>
      <c r="C54" s="2">
        <v>3145817.6</v>
      </c>
    </row>
    <row r="55" spans="1:3" x14ac:dyDescent="0.25">
      <c r="A55" t="s">
        <v>6</v>
      </c>
      <c r="B55" t="s">
        <v>455</v>
      </c>
      <c r="C55" s="2">
        <v>893144.94</v>
      </c>
    </row>
    <row r="56" spans="1:3" x14ac:dyDescent="0.25">
      <c r="A56" t="s">
        <v>6</v>
      </c>
      <c r="B56" t="s">
        <v>530</v>
      </c>
      <c r="C56" s="2">
        <v>437631.68</v>
      </c>
    </row>
    <row r="57" spans="1:3" x14ac:dyDescent="0.25">
      <c r="A57" t="s">
        <v>6</v>
      </c>
      <c r="B57" t="s">
        <v>531</v>
      </c>
      <c r="C57" s="2">
        <v>2465331.96</v>
      </c>
    </row>
    <row r="58" spans="1:3" x14ac:dyDescent="0.25">
      <c r="A58" t="s">
        <v>6</v>
      </c>
      <c r="B58" t="s">
        <v>456</v>
      </c>
      <c r="C58" s="2">
        <v>42328991.579999998</v>
      </c>
    </row>
    <row r="59" spans="1:3" x14ac:dyDescent="0.25">
      <c r="A59" t="s">
        <v>6</v>
      </c>
      <c r="B59" t="s">
        <v>457</v>
      </c>
      <c r="C59" s="2">
        <v>3136916.4</v>
      </c>
    </row>
    <row r="60" spans="1:3" x14ac:dyDescent="0.25">
      <c r="A60" t="s">
        <v>6</v>
      </c>
      <c r="B60" t="s">
        <v>458</v>
      </c>
      <c r="C60" s="2">
        <v>20400</v>
      </c>
    </row>
    <row r="61" spans="1:3" x14ac:dyDescent="0.25">
      <c r="A61" t="s">
        <v>6</v>
      </c>
      <c r="B61" t="s">
        <v>532</v>
      </c>
      <c r="C61" s="2">
        <v>20400</v>
      </c>
    </row>
    <row r="62" spans="1:3" x14ac:dyDescent="0.25">
      <c r="A62" t="s">
        <v>6</v>
      </c>
      <c r="B62" t="s">
        <v>460</v>
      </c>
      <c r="C62" s="2">
        <v>5977926.8099999996</v>
      </c>
    </row>
    <row r="63" spans="1:3" x14ac:dyDescent="0.25">
      <c r="A63" t="s">
        <v>6</v>
      </c>
      <c r="B63" t="s">
        <v>461</v>
      </c>
      <c r="C63" s="2">
        <v>747625.44</v>
      </c>
    </row>
    <row r="64" spans="1:3" x14ac:dyDescent="0.25">
      <c r="A64" t="s">
        <v>6</v>
      </c>
      <c r="B64" t="s">
        <v>462</v>
      </c>
      <c r="C64" s="2">
        <v>5230301.37</v>
      </c>
    </row>
    <row r="65" spans="1:3" x14ac:dyDescent="0.25">
      <c r="A65" t="s">
        <v>6</v>
      </c>
      <c r="B65" t="s">
        <v>223</v>
      </c>
      <c r="C65" s="2">
        <v>191946093.28999999</v>
      </c>
    </row>
    <row r="66" spans="1:3" x14ac:dyDescent="0.25">
      <c r="A66" t="s">
        <v>6</v>
      </c>
      <c r="B66" t="s">
        <v>463</v>
      </c>
      <c r="C66" s="2">
        <v>187402823.77000001</v>
      </c>
    </row>
    <row r="67" spans="1:3" x14ac:dyDescent="0.25">
      <c r="A67" t="s">
        <v>6</v>
      </c>
      <c r="B67" t="s">
        <v>464</v>
      </c>
      <c r="C67" s="2">
        <v>158026521.43000001</v>
      </c>
    </row>
    <row r="68" spans="1:3" x14ac:dyDescent="0.25">
      <c r="A68" t="s">
        <v>6</v>
      </c>
      <c r="B68" t="s">
        <v>465</v>
      </c>
      <c r="C68" s="2">
        <v>28459191.609999999</v>
      </c>
    </row>
    <row r="69" spans="1:3" x14ac:dyDescent="0.25">
      <c r="A69" t="s">
        <v>6</v>
      </c>
      <c r="B69" t="s">
        <v>466</v>
      </c>
      <c r="C69" s="2">
        <v>895320.26</v>
      </c>
    </row>
    <row r="70" spans="1:3" x14ac:dyDescent="0.25">
      <c r="A70" t="s">
        <v>6</v>
      </c>
      <c r="B70" t="s">
        <v>467</v>
      </c>
      <c r="C70" s="2">
        <v>21790.47</v>
      </c>
    </row>
    <row r="71" spans="1:3" x14ac:dyDescent="0.25">
      <c r="A71" t="s">
        <v>6</v>
      </c>
      <c r="B71" t="s">
        <v>468</v>
      </c>
      <c r="C71" s="2">
        <v>487488.43</v>
      </c>
    </row>
    <row r="72" spans="1:3" x14ac:dyDescent="0.25">
      <c r="A72" t="s">
        <v>6</v>
      </c>
      <c r="B72" t="s">
        <v>469</v>
      </c>
      <c r="C72" s="2">
        <v>487488.43</v>
      </c>
    </row>
    <row r="73" spans="1:3" x14ac:dyDescent="0.25">
      <c r="A73" t="s">
        <v>6</v>
      </c>
      <c r="B73" t="s">
        <v>470</v>
      </c>
      <c r="C73" s="2">
        <v>2912429.4</v>
      </c>
    </row>
    <row r="74" spans="1:3" x14ac:dyDescent="0.25">
      <c r="A74" t="s">
        <v>6</v>
      </c>
      <c r="B74" t="s">
        <v>471</v>
      </c>
      <c r="C74" s="2">
        <v>1143351.69</v>
      </c>
    </row>
    <row r="75" spans="1:3" x14ac:dyDescent="0.25">
      <c r="A75" t="s">
        <v>6</v>
      </c>
      <c r="B75" t="s">
        <v>472</v>
      </c>
      <c r="C75" s="2">
        <v>877638.4</v>
      </c>
    </row>
    <row r="76" spans="1:3" x14ac:dyDescent="0.25">
      <c r="A76" t="s">
        <v>6</v>
      </c>
      <c r="B76" t="s">
        <v>533</v>
      </c>
      <c r="C76" s="2">
        <v>75882.899999999994</v>
      </c>
    </row>
    <row r="77" spans="1:3" x14ac:dyDescent="0.25">
      <c r="A77" t="s">
        <v>6</v>
      </c>
      <c r="B77" t="s">
        <v>473</v>
      </c>
      <c r="C77" s="2">
        <v>189830.39</v>
      </c>
    </row>
    <row r="78" spans="1:3" x14ac:dyDescent="0.25">
      <c r="A78" t="s">
        <v>6</v>
      </c>
      <c r="B78" t="s">
        <v>232</v>
      </c>
      <c r="C78" s="2">
        <v>219100.53</v>
      </c>
    </row>
    <row r="79" spans="1:3" x14ac:dyDescent="0.25">
      <c r="A79" t="s">
        <v>6</v>
      </c>
      <c r="B79" t="s">
        <v>474</v>
      </c>
      <c r="C79" s="2">
        <v>219100.53</v>
      </c>
    </row>
    <row r="80" spans="1:3" x14ac:dyDescent="0.25">
      <c r="A80" t="s">
        <v>6</v>
      </c>
      <c r="B80" t="s">
        <v>475</v>
      </c>
      <c r="C80" s="2">
        <v>219100.53</v>
      </c>
    </row>
    <row r="81" spans="1:3" x14ac:dyDescent="0.25">
      <c r="A81" t="s">
        <v>6</v>
      </c>
      <c r="B81" t="s">
        <v>234</v>
      </c>
      <c r="C81" s="2">
        <v>111285462.59</v>
      </c>
    </row>
    <row r="82" spans="1:3" x14ac:dyDescent="0.25">
      <c r="A82" t="s">
        <v>6</v>
      </c>
      <c r="B82" t="s">
        <v>476</v>
      </c>
      <c r="C82" s="2">
        <v>111285462.59</v>
      </c>
    </row>
    <row r="83" spans="1:3" x14ac:dyDescent="0.25">
      <c r="A83" t="s">
        <v>6</v>
      </c>
      <c r="B83" t="s">
        <v>506</v>
      </c>
      <c r="C83" s="2">
        <v>23600</v>
      </c>
    </row>
    <row r="84" spans="1:3" x14ac:dyDescent="0.25">
      <c r="A84" t="s">
        <v>6</v>
      </c>
      <c r="B84" t="s">
        <v>534</v>
      </c>
      <c r="C84" s="2">
        <v>23600</v>
      </c>
    </row>
    <row r="85" spans="1:3" x14ac:dyDescent="0.25">
      <c r="A85" t="s">
        <v>6</v>
      </c>
      <c r="B85" t="s">
        <v>237</v>
      </c>
      <c r="C85" s="2">
        <v>3122223.8</v>
      </c>
    </row>
    <row r="86" spans="1:3" x14ac:dyDescent="0.25">
      <c r="A86" t="s">
        <v>6</v>
      </c>
      <c r="B86" t="s">
        <v>238</v>
      </c>
      <c r="C86" s="2">
        <v>2113628.86</v>
      </c>
    </row>
    <row r="87" spans="1:3" x14ac:dyDescent="0.25">
      <c r="A87" t="s">
        <v>6</v>
      </c>
      <c r="B87" t="s">
        <v>477</v>
      </c>
      <c r="C87" s="2">
        <v>2113628.86</v>
      </c>
    </row>
    <row r="88" spans="1:3" x14ac:dyDescent="0.25">
      <c r="A88" t="s">
        <v>6</v>
      </c>
      <c r="B88" t="s">
        <v>478</v>
      </c>
      <c r="C88" s="2">
        <v>2105973.3199999998</v>
      </c>
    </row>
    <row r="89" spans="1:3" x14ac:dyDescent="0.25">
      <c r="A89" t="s">
        <v>6</v>
      </c>
      <c r="B89" t="s">
        <v>479</v>
      </c>
      <c r="C89" s="2">
        <v>7655.54</v>
      </c>
    </row>
    <row r="90" spans="1:3" x14ac:dyDescent="0.25">
      <c r="A90" t="s">
        <v>6</v>
      </c>
      <c r="B90" t="s">
        <v>239</v>
      </c>
      <c r="C90" s="2">
        <v>680834.75</v>
      </c>
    </row>
    <row r="91" spans="1:3" x14ac:dyDescent="0.25">
      <c r="A91" t="s">
        <v>6</v>
      </c>
      <c r="B91" t="s">
        <v>241</v>
      </c>
      <c r="C91" s="2">
        <v>680834.75</v>
      </c>
    </row>
    <row r="92" spans="1:3" x14ac:dyDescent="0.25">
      <c r="A92" t="s">
        <v>6</v>
      </c>
      <c r="B92" t="s">
        <v>242</v>
      </c>
      <c r="C92" s="2">
        <v>680834.75</v>
      </c>
    </row>
    <row r="93" spans="1:3" x14ac:dyDescent="0.25">
      <c r="A93" t="s">
        <v>6</v>
      </c>
      <c r="B93" t="s">
        <v>243</v>
      </c>
      <c r="C93" s="2">
        <v>327760.19</v>
      </c>
    </row>
    <row r="94" spans="1:3" x14ac:dyDescent="0.25">
      <c r="A94" t="s">
        <v>6</v>
      </c>
      <c r="B94" t="s">
        <v>511</v>
      </c>
      <c r="C94" s="2">
        <v>327760.19</v>
      </c>
    </row>
    <row r="95" spans="1:3" x14ac:dyDescent="0.25">
      <c r="A95" t="s">
        <v>6</v>
      </c>
      <c r="B95" t="s">
        <v>535</v>
      </c>
      <c r="C95" s="2">
        <v>321648.81</v>
      </c>
    </row>
    <row r="96" spans="1:3" x14ac:dyDescent="0.25">
      <c r="A96" t="s">
        <v>6</v>
      </c>
      <c r="B96" t="s">
        <v>513</v>
      </c>
      <c r="C96" s="2">
        <v>6111.38</v>
      </c>
    </row>
    <row r="97" spans="1:3" x14ac:dyDescent="0.25">
      <c r="A97" t="s">
        <v>6</v>
      </c>
      <c r="B97" t="s">
        <v>536</v>
      </c>
      <c r="C97" s="2">
        <v>6111.38</v>
      </c>
    </row>
    <row r="98" spans="1:3" x14ac:dyDescent="0.25">
      <c r="A98" t="s">
        <v>6</v>
      </c>
      <c r="B98" t="s">
        <v>246</v>
      </c>
      <c r="C98" s="2">
        <v>83121679.459999993</v>
      </c>
    </row>
    <row r="99" spans="1:3" x14ac:dyDescent="0.25">
      <c r="A99" t="s">
        <v>6</v>
      </c>
      <c r="B99" t="s">
        <v>247</v>
      </c>
      <c r="C99" s="2">
        <v>80000000</v>
      </c>
    </row>
    <row r="100" spans="1:3" x14ac:dyDescent="0.25">
      <c r="A100" t="s">
        <v>6</v>
      </c>
      <c r="B100" t="s">
        <v>248</v>
      </c>
      <c r="C100" s="2">
        <v>80000000</v>
      </c>
    </row>
    <row r="101" spans="1:3" x14ac:dyDescent="0.25">
      <c r="A101" t="s">
        <v>6</v>
      </c>
      <c r="B101" t="s">
        <v>480</v>
      </c>
      <c r="C101" s="2">
        <v>80000000</v>
      </c>
    </row>
    <row r="102" spans="1:3" x14ac:dyDescent="0.25">
      <c r="A102" t="s">
        <v>6</v>
      </c>
      <c r="B102" t="s">
        <v>481</v>
      </c>
      <c r="C102" s="2">
        <v>20000000</v>
      </c>
    </row>
    <row r="103" spans="1:3" x14ac:dyDescent="0.25">
      <c r="A103" t="s">
        <v>6</v>
      </c>
      <c r="B103" t="s">
        <v>482</v>
      </c>
      <c r="C103" s="2">
        <v>60000000</v>
      </c>
    </row>
    <row r="104" spans="1:3" x14ac:dyDescent="0.25">
      <c r="A104" t="s">
        <v>6</v>
      </c>
      <c r="B104" t="s">
        <v>253</v>
      </c>
      <c r="C104" s="2">
        <v>3121679.46</v>
      </c>
    </row>
    <row r="105" spans="1:3" x14ac:dyDescent="0.25">
      <c r="A105" t="s">
        <v>6</v>
      </c>
      <c r="B105" t="s">
        <v>254</v>
      </c>
      <c r="C105" s="2">
        <v>3121679.46</v>
      </c>
    </row>
    <row r="106" spans="1:3" x14ac:dyDescent="0.25">
      <c r="A106" t="s">
        <v>6</v>
      </c>
      <c r="B106" t="s">
        <v>519</v>
      </c>
      <c r="C106" s="2">
        <v>85420</v>
      </c>
    </row>
    <row r="107" spans="1:3" x14ac:dyDescent="0.25">
      <c r="A107" t="s">
        <v>6</v>
      </c>
      <c r="B107" t="s">
        <v>520</v>
      </c>
      <c r="C107" s="2">
        <v>85420</v>
      </c>
    </row>
    <row r="108" spans="1:3" x14ac:dyDescent="0.25">
      <c r="A108" t="s">
        <v>6</v>
      </c>
      <c r="B108" t="s">
        <v>521</v>
      </c>
      <c r="C108" s="2">
        <v>85420</v>
      </c>
    </row>
    <row r="109" spans="1:3" x14ac:dyDescent="0.25">
      <c r="A109" t="s">
        <v>6</v>
      </c>
      <c r="B109" t="s">
        <v>537</v>
      </c>
      <c r="C109" s="2">
        <v>1526521.68</v>
      </c>
    </row>
    <row r="110" spans="1:3" x14ac:dyDescent="0.25">
      <c r="A110" t="s">
        <v>6</v>
      </c>
      <c r="B110" t="s">
        <v>538</v>
      </c>
      <c r="C110" s="2">
        <v>1526521.68</v>
      </c>
    </row>
    <row r="111" spans="1:3" x14ac:dyDescent="0.25">
      <c r="A111" t="s">
        <v>6</v>
      </c>
      <c r="B111" t="s">
        <v>539</v>
      </c>
      <c r="C111" s="2">
        <v>1526521.68</v>
      </c>
    </row>
    <row r="112" spans="1:3" x14ac:dyDescent="0.25">
      <c r="A112" t="s">
        <v>6</v>
      </c>
      <c r="B112" t="s">
        <v>483</v>
      </c>
      <c r="C112" s="2">
        <v>1509737.78</v>
      </c>
    </row>
    <row r="113" spans="1:3" x14ac:dyDescent="0.25">
      <c r="A113" t="s">
        <v>6</v>
      </c>
      <c r="B113" t="s">
        <v>486</v>
      </c>
      <c r="C113" s="2">
        <v>1509737.78</v>
      </c>
    </row>
    <row r="114" spans="1:3" x14ac:dyDescent="0.25">
      <c r="A114" t="s">
        <v>6</v>
      </c>
      <c r="B114" t="s">
        <v>318</v>
      </c>
      <c r="C114" s="2">
        <v>897856861.63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6.5703125" customWidth="1"/>
    <col min="2" max="2" width="102.5703125" customWidth="1"/>
    <col min="3" max="3" width="19.5703125" bestFit="1" customWidth="1"/>
    <col min="4" max="4" width="13" customWidth="1"/>
    <col min="5" max="5" width="17.42578125" bestFit="1" customWidth="1"/>
    <col min="6" max="6" width="19.5703125" bestFit="1" customWidth="1"/>
    <col min="7" max="7" width="16.85546875" bestFit="1" customWidth="1"/>
    <col min="8" max="10" width="13" customWidth="1"/>
  </cols>
  <sheetData>
    <row r="1" spans="1:6" x14ac:dyDescent="0.25">
      <c r="A1" t="s">
        <v>527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85</v>
      </c>
      <c r="B5" t="s">
        <v>290</v>
      </c>
      <c r="C5" s="2">
        <v>2270716271.54</v>
      </c>
      <c r="E5" s="2" t="s">
        <v>7</v>
      </c>
      <c r="F5" s="2">
        <f>C5</f>
        <v>2270716271.54</v>
      </c>
    </row>
    <row r="6" spans="1:6" x14ac:dyDescent="0.25">
      <c r="A6" t="s">
        <v>85</v>
      </c>
      <c r="B6" t="s">
        <v>174</v>
      </c>
      <c r="C6" s="2">
        <v>2125731585.1500001</v>
      </c>
      <c r="E6" s="2" t="s">
        <v>9</v>
      </c>
      <c r="F6" s="2">
        <f>C7</f>
        <v>713796753.32000005</v>
      </c>
    </row>
    <row r="7" spans="1:6" x14ac:dyDescent="0.25">
      <c r="A7" t="s">
        <v>85</v>
      </c>
      <c r="B7" t="s">
        <v>175</v>
      </c>
      <c r="C7" s="2">
        <v>713796753.32000005</v>
      </c>
      <c r="E7" s="2" t="s">
        <v>11</v>
      </c>
      <c r="F7" s="2">
        <f>C10</f>
        <v>268823900.52999997</v>
      </c>
    </row>
    <row r="8" spans="1:6" x14ac:dyDescent="0.25">
      <c r="A8" t="s">
        <v>85</v>
      </c>
      <c r="B8" t="s">
        <v>176</v>
      </c>
      <c r="C8" s="2">
        <v>658286804.78999996</v>
      </c>
      <c r="E8" s="2" t="s">
        <v>13</v>
      </c>
      <c r="F8" s="2">
        <f>C11</f>
        <v>59870483.710000001</v>
      </c>
    </row>
    <row r="9" spans="1:6" x14ac:dyDescent="0.25">
      <c r="A9" t="s">
        <v>85</v>
      </c>
      <c r="B9" t="s">
        <v>421</v>
      </c>
      <c r="C9" s="2">
        <v>328694384.24000001</v>
      </c>
      <c r="E9" s="2" t="s">
        <v>15</v>
      </c>
      <c r="F9" s="2">
        <f>C18</f>
        <v>234839808.5</v>
      </c>
    </row>
    <row r="10" spans="1:6" x14ac:dyDescent="0.25">
      <c r="A10" t="s">
        <v>85</v>
      </c>
      <c r="B10" t="s">
        <v>422</v>
      </c>
      <c r="C10" s="2">
        <v>268823900.52999997</v>
      </c>
      <c r="E10" s="2" t="s">
        <v>121</v>
      </c>
      <c r="F10" s="2">
        <f>C57</f>
        <v>1190923434.95</v>
      </c>
    </row>
    <row r="11" spans="1:6" x14ac:dyDescent="0.25">
      <c r="A11" t="s">
        <v>85</v>
      </c>
      <c r="B11" t="s">
        <v>423</v>
      </c>
      <c r="C11" s="2">
        <v>59870483.710000001</v>
      </c>
      <c r="E11" s="2" t="s">
        <v>19</v>
      </c>
      <c r="F11" s="2">
        <f>C60</f>
        <v>170715069.77000001</v>
      </c>
    </row>
    <row r="12" spans="1:6" x14ac:dyDescent="0.25">
      <c r="A12" t="s">
        <v>85</v>
      </c>
      <c r="B12" t="s">
        <v>177</v>
      </c>
      <c r="C12" s="2">
        <v>94752612.049999997</v>
      </c>
      <c r="E12" s="2" t="s">
        <v>21</v>
      </c>
      <c r="F12" s="2">
        <f>C93</f>
        <v>586275449.20000005</v>
      </c>
    </row>
    <row r="13" spans="1:6" x14ac:dyDescent="0.25">
      <c r="A13" t="s">
        <v>85</v>
      </c>
      <c r="B13" t="s">
        <v>178</v>
      </c>
      <c r="C13" s="2">
        <v>94752612.049999997</v>
      </c>
      <c r="E13" s="2" t="s">
        <v>23</v>
      </c>
      <c r="F13" s="2">
        <f>SUM(C83,C103)</f>
        <v>214891889.29999998</v>
      </c>
    </row>
    <row r="14" spans="1:6" x14ac:dyDescent="0.25">
      <c r="A14" t="s">
        <v>85</v>
      </c>
      <c r="B14" t="s">
        <v>179</v>
      </c>
      <c r="C14" s="2">
        <v>71344142.109999999</v>
      </c>
      <c r="E14" s="2" t="s">
        <v>25</v>
      </c>
      <c r="F14" s="2">
        <f>C130</f>
        <v>144984686.38999999</v>
      </c>
    </row>
    <row r="15" spans="1:6" x14ac:dyDescent="0.25">
      <c r="A15" t="s">
        <v>85</v>
      </c>
      <c r="B15" t="s">
        <v>180</v>
      </c>
      <c r="C15" s="2">
        <v>23408469.940000001</v>
      </c>
    </row>
    <row r="16" spans="1:6" x14ac:dyDescent="0.25">
      <c r="A16" t="s">
        <v>85</v>
      </c>
      <c r="B16" t="s">
        <v>424</v>
      </c>
      <c r="C16" s="2">
        <v>234839808.5</v>
      </c>
    </row>
    <row r="17" spans="1:3" x14ac:dyDescent="0.25">
      <c r="A17" t="s">
        <v>85</v>
      </c>
      <c r="B17" t="s">
        <v>425</v>
      </c>
      <c r="C17" s="2">
        <v>234839808.5</v>
      </c>
    </row>
    <row r="18" spans="1:3" x14ac:dyDescent="0.25">
      <c r="A18" t="s">
        <v>85</v>
      </c>
      <c r="B18" t="s">
        <v>426</v>
      </c>
      <c r="C18" s="2">
        <v>234839808.5</v>
      </c>
    </row>
    <row r="19" spans="1:3" x14ac:dyDescent="0.25">
      <c r="A19" t="s">
        <v>85</v>
      </c>
      <c r="B19" t="s">
        <v>187</v>
      </c>
      <c r="C19" s="2">
        <v>55509948.530000001</v>
      </c>
    </row>
    <row r="20" spans="1:3" x14ac:dyDescent="0.25">
      <c r="A20" t="s">
        <v>85</v>
      </c>
      <c r="B20" t="s">
        <v>188</v>
      </c>
      <c r="C20" s="2">
        <v>17999725.870000001</v>
      </c>
    </row>
    <row r="21" spans="1:3" x14ac:dyDescent="0.25">
      <c r="A21" t="s">
        <v>85</v>
      </c>
      <c r="B21" t="s">
        <v>189</v>
      </c>
      <c r="C21" s="2">
        <v>17766317.030000001</v>
      </c>
    </row>
    <row r="22" spans="1:3" x14ac:dyDescent="0.25">
      <c r="A22" t="s">
        <v>85</v>
      </c>
      <c r="B22" t="s">
        <v>487</v>
      </c>
      <c r="C22" s="2">
        <v>233408.84</v>
      </c>
    </row>
    <row r="23" spans="1:3" x14ac:dyDescent="0.25">
      <c r="A23" t="s">
        <v>85</v>
      </c>
      <c r="B23" t="s">
        <v>190</v>
      </c>
      <c r="C23" s="2">
        <v>37510222.659999996</v>
      </c>
    </row>
    <row r="24" spans="1:3" x14ac:dyDescent="0.25">
      <c r="A24" t="s">
        <v>85</v>
      </c>
      <c r="B24" t="s">
        <v>528</v>
      </c>
      <c r="C24" s="2">
        <v>37510222.659999996</v>
      </c>
    </row>
    <row r="25" spans="1:3" x14ac:dyDescent="0.25">
      <c r="A25" t="s">
        <v>85</v>
      </c>
      <c r="B25" t="s">
        <v>192</v>
      </c>
      <c r="C25" s="2">
        <v>88675967.569999993</v>
      </c>
    </row>
    <row r="26" spans="1:3" x14ac:dyDescent="0.25">
      <c r="A26" t="s">
        <v>85</v>
      </c>
      <c r="B26" t="s">
        <v>259</v>
      </c>
      <c r="C26" s="2">
        <v>56772131.560000002</v>
      </c>
    </row>
    <row r="27" spans="1:3" x14ac:dyDescent="0.25">
      <c r="A27" t="s">
        <v>85</v>
      </c>
      <c r="B27" t="s">
        <v>488</v>
      </c>
      <c r="C27" s="2">
        <v>56770842.189999998</v>
      </c>
    </row>
    <row r="28" spans="1:3" x14ac:dyDescent="0.25">
      <c r="A28" t="s">
        <v>85</v>
      </c>
      <c r="B28" t="s">
        <v>489</v>
      </c>
      <c r="C28" s="2">
        <v>56472359.140000001</v>
      </c>
    </row>
    <row r="29" spans="1:3" x14ac:dyDescent="0.25">
      <c r="A29" t="s">
        <v>85</v>
      </c>
      <c r="B29" t="s">
        <v>490</v>
      </c>
      <c r="C29" s="2">
        <v>41697236.210000001</v>
      </c>
    </row>
    <row r="30" spans="1:3" x14ac:dyDescent="0.25">
      <c r="A30" t="s">
        <v>85</v>
      </c>
      <c r="B30" t="s">
        <v>491</v>
      </c>
      <c r="C30" s="2">
        <v>13305045.039999999</v>
      </c>
    </row>
    <row r="31" spans="1:3" x14ac:dyDescent="0.25">
      <c r="A31" t="s">
        <v>85</v>
      </c>
      <c r="B31" t="s">
        <v>492</v>
      </c>
      <c r="C31" s="2">
        <v>1268684.5</v>
      </c>
    </row>
    <row r="32" spans="1:3" x14ac:dyDescent="0.25">
      <c r="A32" t="s">
        <v>85</v>
      </c>
      <c r="B32" t="s">
        <v>493</v>
      </c>
      <c r="C32" s="2">
        <v>201393.39</v>
      </c>
    </row>
    <row r="33" spans="1:3" x14ac:dyDescent="0.25">
      <c r="A33" t="s">
        <v>85</v>
      </c>
      <c r="B33" t="s">
        <v>494</v>
      </c>
      <c r="C33" s="2">
        <v>298483.05</v>
      </c>
    </row>
    <row r="34" spans="1:3" x14ac:dyDescent="0.25">
      <c r="A34" t="s">
        <v>85</v>
      </c>
      <c r="B34" t="s">
        <v>495</v>
      </c>
      <c r="C34" s="2">
        <v>298483.05</v>
      </c>
    </row>
    <row r="35" spans="1:3" x14ac:dyDescent="0.25">
      <c r="A35" t="s">
        <v>85</v>
      </c>
      <c r="B35" t="s">
        <v>540</v>
      </c>
      <c r="C35" s="2">
        <v>1289.3699999999999</v>
      </c>
    </row>
    <row r="36" spans="1:3" x14ac:dyDescent="0.25">
      <c r="A36" t="s">
        <v>85</v>
      </c>
      <c r="B36" t="s">
        <v>541</v>
      </c>
      <c r="C36" s="2">
        <v>1289.3699999999999</v>
      </c>
    </row>
    <row r="37" spans="1:3" x14ac:dyDescent="0.25">
      <c r="A37" t="s">
        <v>85</v>
      </c>
      <c r="B37" t="s">
        <v>542</v>
      </c>
      <c r="C37" s="2">
        <v>1289.3699999999999</v>
      </c>
    </row>
    <row r="38" spans="1:3" x14ac:dyDescent="0.25">
      <c r="A38" t="s">
        <v>85</v>
      </c>
      <c r="B38" t="s">
        <v>193</v>
      </c>
      <c r="C38" s="2">
        <v>31903836.010000002</v>
      </c>
    </row>
    <row r="39" spans="1:3" x14ac:dyDescent="0.25">
      <c r="A39" t="s">
        <v>85</v>
      </c>
      <c r="B39" t="s">
        <v>194</v>
      </c>
      <c r="C39" s="2">
        <v>76118485.390000001</v>
      </c>
    </row>
    <row r="40" spans="1:3" x14ac:dyDescent="0.25">
      <c r="A40" t="s">
        <v>85</v>
      </c>
      <c r="B40" t="s">
        <v>356</v>
      </c>
      <c r="C40" s="2">
        <v>4200</v>
      </c>
    </row>
    <row r="41" spans="1:3" x14ac:dyDescent="0.25">
      <c r="A41" t="s">
        <v>85</v>
      </c>
      <c r="B41" t="s">
        <v>496</v>
      </c>
      <c r="C41" s="2">
        <v>4200</v>
      </c>
    </row>
    <row r="42" spans="1:3" x14ac:dyDescent="0.25">
      <c r="A42" t="s">
        <v>85</v>
      </c>
      <c r="B42" t="s">
        <v>497</v>
      </c>
      <c r="C42" s="2">
        <v>4200</v>
      </c>
    </row>
    <row r="43" spans="1:3" x14ac:dyDescent="0.25">
      <c r="A43" t="s">
        <v>85</v>
      </c>
      <c r="B43" t="s">
        <v>498</v>
      </c>
      <c r="C43" s="2">
        <v>4200</v>
      </c>
    </row>
    <row r="44" spans="1:3" x14ac:dyDescent="0.25">
      <c r="A44" t="s">
        <v>85</v>
      </c>
      <c r="B44" t="s">
        <v>195</v>
      </c>
      <c r="C44" s="2">
        <v>56114285.390000001</v>
      </c>
    </row>
    <row r="45" spans="1:3" x14ac:dyDescent="0.25">
      <c r="A45" t="s">
        <v>85</v>
      </c>
      <c r="B45" t="s">
        <v>196</v>
      </c>
      <c r="C45" s="2">
        <v>55845510.43</v>
      </c>
    </row>
    <row r="46" spans="1:3" x14ac:dyDescent="0.25">
      <c r="A46" t="s">
        <v>85</v>
      </c>
      <c r="B46" t="s">
        <v>427</v>
      </c>
      <c r="C46" s="2">
        <v>21874485.059999999</v>
      </c>
    </row>
    <row r="47" spans="1:3" x14ac:dyDescent="0.25">
      <c r="A47" t="s">
        <v>85</v>
      </c>
      <c r="B47" t="s">
        <v>499</v>
      </c>
      <c r="C47" s="2">
        <v>33971025.369999997</v>
      </c>
    </row>
    <row r="48" spans="1:3" x14ac:dyDescent="0.25">
      <c r="A48" t="s">
        <v>85</v>
      </c>
      <c r="B48" t="s">
        <v>267</v>
      </c>
      <c r="C48" s="2">
        <v>268774.96000000002</v>
      </c>
    </row>
    <row r="49" spans="1:7" x14ac:dyDescent="0.25">
      <c r="A49" t="s">
        <v>85</v>
      </c>
      <c r="B49" t="s">
        <v>543</v>
      </c>
      <c r="C49" s="2">
        <v>20000000</v>
      </c>
    </row>
    <row r="50" spans="1:7" x14ac:dyDescent="0.25">
      <c r="A50" t="s">
        <v>85</v>
      </c>
      <c r="B50" t="s">
        <v>544</v>
      </c>
      <c r="C50" s="2">
        <v>20000000</v>
      </c>
    </row>
    <row r="51" spans="1:7" x14ac:dyDescent="0.25">
      <c r="A51" t="s">
        <v>85</v>
      </c>
      <c r="B51" t="s">
        <v>268</v>
      </c>
      <c r="C51" s="2">
        <v>12864540.07</v>
      </c>
    </row>
    <row r="52" spans="1:7" x14ac:dyDescent="0.25">
      <c r="A52" t="s">
        <v>85</v>
      </c>
      <c r="B52" t="s">
        <v>269</v>
      </c>
      <c r="C52" s="2">
        <v>4353847.08</v>
      </c>
    </row>
    <row r="53" spans="1:7" x14ac:dyDescent="0.25">
      <c r="A53" t="s">
        <v>85</v>
      </c>
      <c r="B53" t="s">
        <v>431</v>
      </c>
      <c r="C53" s="2">
        <v>4353847.08</v>
      </c>
    </row>
    <row r="54" spans="1:7" x14ac:dyDescent="0.25">
      <c r="A54" t="s">
        <v>85</v>
      </c>
      <c r="B54" t="s">
        <v>545</v>
      </c>
      <c r="C54" s="2">
        <v>2770797.08</v>
      </c>
    </row>
    <row r="55" spans="1:7" x14ac:dyDescent="0.25">
      <c r="A55" t="s">
        <v>85</v>
      </c>
      <c r="B55" t="s">
        <v>432</v>
      </c>
      <c r="C55" s="2">
        <v>1583050</v>
      </c>
    </row>
    <row r="56" spans="1:7" x14ac:dyDescent="0.25">
      <c r="A56" t="s">
        <v>85</v>
      </c>
      <c r="B56" t="s">
        <v>271</v>
      </c>
      <c r="C56" s="2">
        <v>8510692.9900000002</v>
      </c>
    </row>
    <row r="57" spans="1:7" x14ac:dyDescent="0.25">
      <c r="A57" t="s">
        <v>85</v>
      </c>
      <c r="B57" t="s">
        <v>200</v>
      </c>
      <c r="C57" s="2">
        <v>1190923434.95</v>
      </c>
    </row>
    <row r="58" spans="1:7" x14ac:dyDescent="0.25">
      <c r="A58" t="s">
        <v>85</v>
      </c>
      <c r="B58" t="s">
        <v>201</v>
      </c>
      <c r="C58" s="2">
        <v>390638087.43000001</v>
      </c>
    </row>
    <row r="59" spans="1:7" x14ac:dyDescent="0.25">
      <c r="A59" t="s">
        <v>85</v>
      </c>
      <c r="B59" t="s">
        <v>433</v>
      </c>
      <c r="C59" s="2">
        <v>170791359.80000001</v>
      </c>
    </row>
    <row r="60" spans="1:7" x14ac:dyDescent="0.25">
      <c r="A60" t="s">
        <v>85</v>
      </c>
      <c r="B60" t="s">
        <v>434</v>
      </c>
      <c r="C60" s="2">
        <v>170715069.77000001</v>
      </c>
    </row>
    <row r="61" spans="1:7" x14ac:dyDescent="0.25">
      <c r="A61" t="s">
        <v>85</v>
      </c>
      <c r="B61" t="s">
        <v>435</v>
      </c>
      <c r="C61" s="2">
        <v>155462543.87</v>
      </c>
    </row>
    <row r="62" spans="1:7" x14ac:dyDescent="0.25">
      <c r="A62" t="s">
        <v>85</v>
      </c>
      <c r="B62" t="s">
        <v>529</v>
      </c>
      <c r="C62" s="2">
        <v>15252525.9</v>
      </c>
    </row>
    <row r="63" spans="1:7" x14ac:dyDescent="0.25">
      <c r="A63" t="s">
        <v>85</v>
      </c>
      <c r="B63" t="s">
        <v>438</v>
      </c>
      <c r="C63" s="2">
        <v>76290.03</v>
      </c>
    </row>
    <row r="64" spans="1:7" x14ac:dyDescent="0.25">
      <c r="A64" t="s">
        <v>85</v>
      </c>
      <c r="B64" t="s">
        <v>439</v>
      </c>
      <c r="C64" s="2">
        <v>12059073.91</v>
      </c>
      <c r="G64" s="1"/>
    </row>
    <row r="65" spans="1:7" x14ac:dyDescent="0.25">
      <c r="A65" t="s">
        <v>85</v>
      </c>
      <c r="B65" t="s">
        <v>440</v>
      </c>
      <c r="C65" s="2">
        <v>82102.84</v>
      </c>
      <c r="G65" s="1"/>
    </row>
    <row r="66" spans="1:7" x14ac:dyDescent="0.25">
      <c r="A66" t="s">
        <v>85</v>
      </c>
      <c r="B66" t="s">
        <v>441</v>
      </c>
      <c r="C66" s="2">
        <v>11976971.07</v>
      </c>
    </row>
    <row r="67" spans="1:7" x14ac:dyDescent="0.25">
      <c r="A67" t="s">
        <v>85</v>
      </c>
      <c r="B67" t="s">
        <v>501</v>
      </c>
      <c r="C67" s="2">
        <v>7164457.9400000004</v>
      </c>
    </row>
    <row r="68" spans="1:7" x14ac:dyDescent="0.25">
      <c r="A68" t="s">
        <v>85</v>
      </c>
      <c r="B68" t="s">
        <v>502</v>
      </c>
      <c r="C68" s="2">
        <v>1489194.29</v>
      </c>
    </row>
    <row r="69" spans="1:7" x14ac:dyDescent="0.25">
      <c r="A69" t="s">
        <v>85</v>
      </c>
      <c r="B69" t="s">
        <v>442</v>
      </c>
      <c r="C69" s="2">
        <v>3323318.84</v>
      </c>
    </row>
    <row r="70" spans="1:7" x14ac:dyDescent="0.25">
      <c r="A70" t="s">
        <v>85</v>
      </c>
      <c r="B70" t="s">
        <v>443</v>
      </c>
      <c r="C70" s="2">
        <v>118571334.25</v>
      </c>
    </row>
    <row r="71" spans="1:7" x14ac:dyDescent="0.25">
      <c r="A71" t="s">
        <v>85</v>
      </c>
      <c r="B71" t="s">
        <v>444</v>
      </c>
      <c r="C71" s="2">
        <v>118571334.25</v>
      </c>
    </row>
    <row r="72" spans="1:7" x14ac:dyDescent="0.25">
      <c r="A72" t="s">
        <v>85</v>
      </c>
      <c r="B72" t="s">
        <v>445</v>
      </c>
      <c r="C72" s="2">
        <v>67222137.730000004</v>
      </c>
    </row>
    <row r="73" spans="1:7" x14ac:dyDescent="0.25">
      <c r="A73" t="s">
        <v>85</v>
      </c>
      <c r="B73" t="s">
        <v>446</v>
      </c>
      <c r="C73" s="2">
        <v>40195764.710000001</v>
      </c>
    </row>
    <row r="74" spans="1:7" x14ac:dyDescent="0.25">
      <c r="A74" t="s">
        <v>85</v>
      </c>
      <c r="B74" t="s">
        <v>447</v>
      </c>
      <c r="C74" s="2">
        <v>7949147.2400000002</v>
      </c>
    </row>
    <row r="75" spans="1:7" x14ac:dyDescent="0.25">
      <c r="A75" t="s">
        <v>85</v>
      </c>
      <c r="B75" t="s">
        <v>448</v>
      </c>
      <c r="C75" s="2">
        <v>1779835.44</v>
      </c>
    </row>
    <row r="76" spans="1:7" x14ac:dyDescent="0.25">
      <c r="A76" t="s">
        <v>85</v>
      </c>
      <c r="B76" t="s">
        <v>449</v>
      </c>
      <c r="C76" s="2">
        <v>1424449.13</v>
      </c>
    </row>
    <row r="77" spans="1:7" x14ac:dyDescent="0.25">
      <c r="A77" t="s">
        <v>85</v>
      </c>
      <c r="B77" t="s">
        <v>451</v>
      </c>
      <c r="C77" s="2">
        <v>12776665.49</v>
      </c>
    </row>
    <row r="78" spans="1:7" x14ac:dyDescent="0.25">
      <c r="A78" t="s">
        <v>85</v>
      </c>
      <c r="B78" t="s">
        <v>452</v>
      </c>
      <c r="C78" s="2">
        <v>5634434.9900000002</v>
      </c>
    </row>
    <row r="79" spans="1:7" x14ac:dyDescent="0.25">
      <c r="A79" t="s">
        <v>85</v>
      </c>
      <c r="B79" t="s">
        <v>453</v>
      </c>
      <c r="C79" s="2">
        <v>8560</v>
      </c>
    </row>
    <row r="80" spans="1:7" x14ac:dyDescent="0.25">
      <c r="A80" t="s">
        <v>85</v>
      </c>
      <c r="B80" t="s">
        <v>454</v>
      </c>
      <c r="C80" s="2">
        <v>4392590.5999999996</v>
      </c>
    </row>
    <row r="81" spans="1:3" x14ac:dyDescent="0.25">
      <c r="A81" t="s">
        <v>85</v>
      </c>
      <c r="B81" t="s">
        <v>455</v>
      </c>
      <c r="C81" s="2">
        <v>631650.97</v>
      </c>
    </row>
    <row r="82" spans="1:3" x14ac:dyDescent="0.25">
      <c r="A82" t="s">
        <v>85</v>
      </c>
      <c r="B82" t="s">
        <v>531</v>
      </c>
      <c r="C82" s="2">
        <v>2109428.9300000002</v>
      </c>
    </row>
    <row r="83" spans="1:3" x14ac:dyDescent="0.25">
      <c r="A83" t="s">
        <v>85</v>
      </c>
      <c r="B83" t="s">
        <v>456</v>
      </c>
      <c r="C83" s="2">
        <v>53485422.909999996</v>
      </c>
    </row>
    <row r="84" spans="1:3" x14ac:dyDescent="0.25">
      <c r="A84" t="s">
        <v>85</v>
      </c>
      <c r="B84" t="s">
        <v>457</v>
      </c>
      <c r="C84" s="2">
        <v>2862195.96</v>
      </c>
    </row>
    <row r="85" spans="1:3" x14ac:dyDescent="0.25">
      <c r="A85" t="s">
        <v>85</v>
      </c>
      <c r="B85" t="s">
        <v>458</v>
      </c>
      <c r="C85" s="2">
        <v>813504.47</v>
      </c>
    </row>
    <row r="86" spans="1:3" x14ac:dyDescent="0.25">
      <c r="A86" t="s">
        <v>85</v>
      </c>
      <c r="B86" t="s">
        <v>459</v>
      </c>
      <c r="C86" s="2">
        <v>813504.47</v>
      </c>
    </row>
    <row r="87" spans="1:3" x14ac:dyDescent="0.25">
      <c r="A87" t="s">
        <v>85</v>
      </c>
      <c r="B87" t="s">
        <v>460</v>
      </c>
      <c r="C87" s="2">
        <v>19278530.640000001</v>
      </c>
    </row>
    <row r="88" spans="1:3" x14ac:dyDescent="0.25">
      <c r="A88" t="s">
        <v>85</v>
      </c>
      <c r="B88" t="s">
        <v>546</v>
      </c>
      <c r="C88" s="2">
        <v>5229209</v>
      </c>
    </row>
    <row r="89" spans="1:3" x14ac:dyDescent="0.25">
      <c r="A89" t="s">
        <v>85</v>
      </c>
      <c r="B89" t="s">
        <v>461</v>
      </c>
      <c r="C89" s="2">
        <v>2839804.68</v>
      </c>
    </row>
    <row r="90" spans="1:3" x14ac:dyDescent="0.25">
      <c r="A90" t="s">
        <v>85</v>
      </c>
      <c r="B90" t="s">
        <v>462</v>
      </c>
      <c r="C90" s="2">
        <v>11209516.960000001</v>
      </c>
    </row>
    <row r="91" spans="1:3" x14ac:dyDescent="0.25">
      <c r="A91" t="s">
        <v>85</v>
      </c>
      <c r="B91" t="s">
        <v>223</v>
      </c>
      <c r="C91" s="2">
        <v>638389835.90999997</v>
      </c>
    </row>
    <row r="92" spans="1:3" x14ac:dyDescent="0.25">
      <c r="A92" t="s">
        <v>85</v>
      </c>
      <c r="B92" t="s">
        <v>463</v>
      </c>
      <c r="C92" s="2">
        <v>619763536.51999998</v>
      </c>
    </row>
    <row r="93" spans="1:3" x14ac:dyDescent="0.25">
      <c r="A93" t="s">
        <v>85</v>
      </c>
      <c r="B93" t="s">
        <v>464</v>
      </c>
      <c r="C93" s="2">
        <v>586275449.20000005</v>
      </c>
    </row>
    <row r="94" spans="1:3" x14ac:dyDescent="0.25">
      <c r="A94" t="s">
        <v>85</v>
      </c>
      <c r="B94" t="s">
        <v>465</v>
      </c>
      <c r="C94" s="2">
        <v>29161393.059999999</v>
      </c>
    </row>
    <row r="95" spans="1:3" x14ac:dyDescent="0.25">
      <c r="A95" t="s">
        <v>85</v>
      </c>
      <c r="B95" t="s">
        <v>466</v>
      </c>
      <c r="C95" s="2">
        <v>4293956.49</v>
      </c>
    </row>
    <row r="96" spans="1:3" x14ac:dyDescent="0.25">
      <c r="A96" t="s">
        <v>85</v>
      </c>
      <c r="B96" t="s">
        <v>467</v>
      </c>
      <c r="C96" s="2">
        <v>32737.77</v>
      </c>
    </row>
    <row r="97" spans="1:3" x14ac:dyDescent="0.25">
      <c r="A97" t="s">
        <v>85</v>
      </c>
      <c r="B97" t="s">
        <v>470</v>
      </c>
      <c r="C97" s="2">
        <v>2765892.41</v>
      </c>
    </row>
    <row r="98" spans="1:3" x14ac:dyDescent="0.25">
      <c r="A98" t="s">
        <v>85</v>
      </c>
      <c r="B98" t="s">
        <v>471</v>
      </c>
      <c r="C98" s="2">
        <v>15860406.98</v>
      </c>
    </row>
    <row r="99" spans="1:3" x14ac:dyDescent="0.25">
      <c r="A99" t="s">
        <v>85</v>
      </c>
      <c r="B99" t="s">
        <v>533</v>
      </c>
      <c r="C99" s="2">
        <v>1161720.8999999999</v>
      </c>
    </row>
    <row r="100" spans="1:3" x14ac:dyDescent="0.25">
      <c r="A100" t="s">
        <v>85</v>
      </c>
      <c r="B100" t="s">
        <v>547</v>
      </c>
      <c r="C100" s="2">
        <v>13977628.18</v>
      </c>
    </row>
    <row r="101" spans="1:3" x14ac:dyDescent="0.25">
      <c r="A101" t="s">
        <v>85</v>
      </c>
      <c r="B101" t="s">
        <v>473</v>
      </c>
      <c r="C101" s="2">
        <v>721057.9</v>
      </c>
    </row>
    <row r="102" spans="1:3" x14ac:dyDescent="0.25">
      <c r="A102" t="s">
        <v>85</v>
      </c>
      <c r="B102" t="s">
        <v>234</v>
      </c>
      <c r="C102" s="2">
        <v>161406466.38999999</v>
      </c>
    </row>
    <row r="103" spans="1:3" x14ac:dyDescent="0.25">
      <c r="A103" t="s">
        <v>85</v>
      </c>
      <c r="B103" t="s">
        <v>476</v>
      </c>
      <c r="C103" s="2">
        <v>161406466.38999999</v>
      </c>
    </row>
    <row r="104" spans="1:3" x14ac:dyDescent="0.25">
      <c r="A104" t="s">
        <v>85</v>
      </c>
      <c r="B104" t="s">
        <v>506</v>
      </c>
      <c r="C104" s="2">
        <v>489045.22</v>
      </c>
    </row>
    <row r="105" spans="1:3" x14ac:dyDescent="0.25">
      <c r="A105" t="s">
        <v>85</v>
      </c>
      <c r="B105" t="s">
        <v>548</v>
      </c>
      <c r="C105" s="2">
        <v>51473.5</v>
      </c>
    </row>
    <row r="106" spans="1:3" x14ac:dyDescent="0.25">
      <c r="A106" t="s">
        <v>85</v>
      </c>
      <c r="B106" t="s">
        <v>549</v>
      </c>
      <c r="C106" s="2">
        <v>51473.5</v>
      </c>
    </row>
    <row r="107" spans="1:3" x14ac:dyDescent="0.25">
      <c r="A107" t="s">
        <v>85</v>
      </c>
      <c r="B107" t="s">
        <v>507</v>
      </c>
      <c r="C107" s="2">
        <v>437571.72</v>
      </c>
    </row>
    <row r="108" spans="1:3" x14ac:dyDescent="0.25">
      <c r="A108" t="s">
        <v>85</v>
      </c>
      <c r="B108" t="s">
        <v>237</v>
      </c>
      <c r="C108" s="2">
        <v>43352403.850000001</v>
      </c>
    </row>
    <row r="109" spans="1:3" x14ac:dyDescent="0.25">
      <c r="A109" t="s">
        <v>85</v>
      </c>
      <c r="B109" t="s">
        <v>238</v>
      </c>
      <c r="C109" s="2">
        <v>1487272.01</v>
      </c>
    </row>
    <row r="110" spans="1:3" x14ac:dyDescent="0.25">
      <c r="A110" t="s">
        <v>85</v>
      </c>
      <c r="B110" t="s">
        <v>477</v>
      </c>
      <c r="C110" s="2">
        <v>1487272.01</v>
      </c>
    </row>
    <row r="111" spans="1:3" x14ac:dyDescent="0.25">
      <c r="A111" t="s">
        <v>85</v>
      </c>
      <c r="B111" t="s">
        <v>478</v>
      </c>
      <c r="C111" s="2">
        <v>101424.65</v>
      </c>
    </row>
    <row r="112" spans="1:3" x14ac:dyDescent="0.25">
      <c r="A112" t="s">
        <v>85</v>
      </c>
      <c r="B112" t="s">
        <v>479</v>
      </c>
      <c r="C112" s="2">
        <v>61014.07</v>
      </c>
    </row>
    <row r="113" spans="1:3" x14ac:dyDescent="0.25">
      <c r="A113" t="s">
        <v>85</v>
      </c>
      <c r="B113" t="s">
        <v>550</v>
      </c>
      <c r="C113" s="2">
        <v>1324833.29</v>
      </c>
    </row>
    <row r="114" spans="1:3" x14ac:dyDescent="0.25">
      <c r="A114" t="s">
        <v>85</v>
      </c>
      <c r="B114" t="s">
        <v>239</v>
      </c>
      <c r="C114" s="2">
        <v>2817775.95</v>
      </c>
    </row>
    <row r="115" spans="1:3" x14ac:dyDescent="0.25">
      <c r="A115" t="s">
        <v>85</v>
      </c>
      <c r="B115" t="s">
        <v>241</v>
      </c>
      <c r="C115" s="2">
        <v>2817775.95</v>
      </c>
    </row>
    <row r="116" spans="1:3" x14ac:dyDescent="0.25">
      <c r="A116" t="s">
        <v>85</v>
      </c>
      <c r="B116" t="s">
        <v>280</v>
      </c>
      <c r="C116" s="2">
        <v>441636.27</v>
      </c>
    </row>
    <row r="117" spans="1:3" x14ac:dyDescent="0.25">
      <c r="A117" t="s">
        <v>85</v>
      </c>
      <c r="B117" t="s">
        <v>551</v>
      </c>
      <c r="C117" s="2">
        <v>441636.27</v>
      </c>
    </row>
    <row r="118" spans="1:3" x14ac:dyDescent="0.25">
      <c r="A118" t="s">
        <v>85</v>
      </c>
      <c r="B118" t="s">
        <v>510</v>
      </c>
      <c r="C118" s="2">
        <v>121472.76</v>
      </c>
    </row>
    <row r="119" spans="1:3" x14ac:dyDescent="0.25">
      <c r="A119" t="s">
        <v>85</v>
      </c>
      <c r="B119" t="s">
        <v>242</v>
      </c>
      <c r="C119" s="2">
        <v>2254666.92</v>
      </c>
    </row>
    <row r="120" spans="1:3" x14ac:dyDescent="0.25">
      <c r="A120" t="s">
        <v>85</v>
      </c>
      <c r="B120" t="s">
        <v>552</v>
      </c>
      <c r="C120" s="2">
        <v>128410.31</v>
      </c>
    </row>
    <row r="121" spans="1:3" x14ac:dyDescent="0.25">
      <c r="A121" t="s">
        <v>85</v>
      </c>
      <c r="B121" t="s">
        <v>553</v>
      </c>
      <c r="C121" s="2">
        <v>128410.31</v>
      </c>
    </row>
    <row r="122" spans="1:3" x14ac:dyDescent="0.25">
      <c r="A122" t="s">
        <v>85</v>
      </c>
      <c r="B122" t="s">
        <v>554</v>
      </c>
      <c r="C122" s="2">
        <v>128410.31</v>
      </c>
    </row>
    <row r="123" spans="1:3" x14ac:dyDescent="0.25">
      <c r="A123" t="s">
        <v>85</v>
      </c>
      <c r="B123" t="s">
        <v>243</v>
      </c>
      <c r="C123" s="2">
        <v>38918945.579999998</v>
      </c>
    </row>
    <row r="124" spans="1:3" x14ac:dyDescent="0.25">
      <c r="A124" t="s">
        <v>85</v>
      </c>
      <c r="B124" t="s">
        <v>511</v>
      </c>
      <c r="C124" s="2">
        <v>38918945.579999998</v>
      </c>
    </row>
    <row r="125" spans="1:3" x14ac:dyDescent="0.25">
      <c r="A125" t="s">
        <v>85</v>
      </c>
      <c r="B125" t="s">
        <v>555</v>
      </c>
      <c r="C125" s="2">
        <v>20435725.640000001</v>
      </c>
    </row>
    <row r="126" spans="1:3" x14ac:dyDescent="0.25">
      <c r="A126" t="s">
        <v>85</v>
      </c>
      <c r="B126" t="s">
        <v>556</v>
      </c>
      <c r="C126" s="2">
        <v>86074.77</v>
      </c>
    </row>
    <row r="127" spans="1:3" x14ac:dyDescent="0.25">
      <c r="A127" t="s">
        <v>85</v>
      </c>
      <c r="B127" t="s">
        <v>557</v>
      </c>
      <c r="C127" s="2">
        <v>86074.77</v>
      </c>
    </row>
    <row r="128" spans="1:3" x14ac:dyDescent="0.25">
      <c r="A128" t="s">
        <v>85</v>
      </c>
      <c r="B128" t="s">
        <v>513</v>
      </c>
      <c r="C128" s="2">
        <v>18397145.170000002</v>
      </c>
    </row>
    <row r="129" spans="1:3" x14ac:dyDescent="0.25">
      <c r="A129" t="s">
        <v>85</v>
      </c>
      <c r="B129" t="s">
        <v>514</v>
      </c>
      <c r="C129" s="2">
        <v>18397145.170000002</v>
      </c>
    </row>
    <row r="130" spans="1:3" x14ac:dyDescent="0.25">
      <c r="A130" t="s">
        <v>85</v>
      </c>
      <c r="B130" t="s">
        <v>246</v>
      </c>
      <c r="C130" s="2">
        <v>144984686.38999999</v>
      </c>
    </row>
    <row r="131" spans="1:3" x14ac:dyDescent="0.25">
      <c r="A131" t="s">
        <v>85</v>
      </c>
      <c r="B131" t="s">
        <v>247</v>
      </c>
      <c r="C131" s="2">
        <v>101805226.8</v>
      </c>
    </row>
    <row r="132" spans="1:3" x14ac:dyDescent="0.25">
      <c r="A132" t="s">
        <v>85</v>
      </c>
      <c r="B132" t="s">
        <v>248</v>
      </c>
      <c r="C132" s="2">
        <v>40668934.759999998</v>
      </c>
    </row>
    <row r="133" spans="1:3" x14ac:dyDescent="0.25">
      <c r="A133" t="s">
        <v>85</v>
      </c>
      <c r="B133" t="s">
        <v>480</v>
      </c>
      <c r="C133" s="2">
        <v>40668934.759999998</v>
      </c>
    </row>
    <row r="134" spans="1:3" x14ac:dyDescent="0.25">
      <c r="A134" t="s">
        <v>85</v>
      </c>
      <c r="B134" t="s">
        <v>515</v>
      </c>
      <c r="C134" s="2">
        <v>38476046.310000002</v>
      </c>
    </row>
    <row r="135" spans="1:3" x14ac:dyDescent="0.25">
      <c r="A135" t="s">
        <v>85</v>
      </c>
      <c r="B135" t="s">
        <v>481</v>
      </c>
      <c r="C135" s="2">
        <v>2192888.4500000002</v>
      </c>
    </row>
    <row r="136" spans="1:3" x14ac:dyDescent="0.25">
      <c r="A136" t="s">
        <v>85</v>
      </c>
      <c r="B136" t="s">
        <v>333</v>
      </c>
      <c r="C136" s="2">
        <v>61136292.039999999</v>
      </c>
    </row>
    <row r="137" spans="1:3" x14ac:dyDescent="0.25">
      <c r="A137" t="s">
        <v>85</v>
      </c>
      <c r="B137" t="s">
        <v>516</v>
      </c>
      <c r="C137" s="2">
        <v>61136292.039999999</v>
      </c>
    </row>
    <row r="138" spans="1:3" x14ac:dyDescent="0.25">
      <c r="A138" t="s">
        <v>85</v>
      </c>
      <c r="B138" t="s">
        <v>517</v>
      </c>
      <c r="C138" s="2">
        <v>56352845.259999998</v>
      </c>
    </row>
    <row r="139" spans="1:3" x14ac:dyDescent="0.25">
      <c r="A139" t="s">
        <v>85</v>
      </c>
      <c r="B139" t="s">
        <v>518</v>
      </c>
      <c r="C139" s="2">
        <v>4783446.78</v>
      </c>
    </row>
    <row r="140" spans="1:3" x14ac:dyDescent="0.25">
      <c r="A140" t="s">
        <v>85</v>
      </c>
      <c r="B140" t="s">
        <v>253</v>
      </c>
      <c r="C140" s="2">
        <v>30947401.489999998</v>
      </c>
    </row>
    <row r="141" spans="1:3" x14ac:dyDescent="0.25">
      <c r="A141" t="s">
        <v>85</v>
      </c>
      <c r="B141" t="s">
        <v>254</v>
      </c>
      <c r="C141" s="2">
        <v>30947401.489999998</v>
      </c>
    </row>
    <row r="142" spans="1:3" x14ac:dyDescent="0.25">
      <c r="A142" t="s">
        <v>85</v>
      </c>
      <c r="B142" t="s">
        <v>519</v>
      </c>
      <c r="C142" s="2">
        <v>249791</v>
      </c>
    </row>
    <row r="143" spans="1:3" x14ac:dyDescent="0.25">
      <c r="A143" t="s">
        <v>85</v>
      </c>
      <c r="B143" t="s">
        <v>520</v>
      </c>
      <c r="C143" s="2">
        <v>249791</v>
      </c>
    </row>
    <row r="144" spans="1:3" x14ac:dyDescent="0.25">
      <c r="A144" t="s">
        <v>85</v>
      </c>
      <c r="B144" t="s">
        <v>558</v>
      </c>
      <c r="C144" s="2">
        <v>249791</v>
      </c>
    </row>
    <row r="145" spans="1:3" x14ac:dyDescent="0.25">
      <c r="A145" t="s">
        <v>85</v>
      </c>
      <c r="B145" t="s">
        <v>537</v>
      </c>
      <c r="C145" s="2">
        <v>2157044.75</v>
      </c>
    </row>
    <row r="146" spans="1:3" x14ac:dyDescent="0.25">
      <c r="A146" t="s">
        <v>85</v>
      </c>
      <c r="B146" t="s">
        <v>538</v>
      </c>
      <c r="C146" s="2">
        <v>2157044.75</v>
      </c>
    </row>
    <row r="147" spans="1:3" x14ac:dyDescent="0.25">
      <c r="A147" t="s">
        <v>85</v>
      </c>
      <c r="B147" t="s">
        <v>559</v>
      </c>
      <c r="C147" s="2">
        <v>2157044.75</v>
      </c>
    </row>
    <row r="148" spans="1:3" x14ac:dyDescent="0.25">
      <c r="A148" t="s">
        <v>85</v>
      </c>
      <c r="B148" t="s">
        <v>483</v>
      </c>
      <c r="C148" s="2">
        <v>269774.74</v>
      </c>
    </row>
    <row r="149" spans="1:3" x14ac:dyDescent="0.25">
      <c r="A149" t="s">
        <v>85</v>
      </c>
      <c r="B149" t="s">
        <v>486</v>
      </c>
      <c r="C149" s="2">
        <v>269774.74</v>
      </c>
    </row>
    <row r="150" spans="1:3" x14ac:dyDescent="0.25">
      <c r="A150" t="s">
        <v>85</v>
      </c>
      <c r="B150" t="s">
        <v>560</v>
      </c>
      <c r="C150" s="2">
        <v>28270791</v>
      </c>
    </row>
    <row r="151" spans="1:3" x14ac:dyDescent="0.25">
      <c r="A151" t="s">
        <v>85</v>
      </c>
      <c r="B151" t="s">
        <v>561</v>
      </c>
      <c r="C151" s="2">
        <v>28270791</v>
      </c>
    </row>
    <row r="152" spans="1:3" x14ac:dyDescent="0.25">
      <c r="A152" t="s">
        <v>85</v>
      </c>
      <c r="B152" t="s">
        <v>562</v>
      </c>
      <c r="C152" s="2">
        <v>12232058.1</v>
      </c>
    </row>
    <row r="153" spans="1:3" x14ac:dyDescent="0.25">
      <c r="A153" t="s">
        <v>85</v>
      </c>
      <c r="B153" t="s">
        <v>563</v>
      </c>
      <c r="C153" s="2">
        <v>12232058.1</v>
      </c>
    </row>
    <row r="154" spans="1:3" x14ac:dyDescent="0.25">
      <c r="A154" t="s">
        <v>85</v>
      </c>
      <c r="B154" t="s">
        <v>564</v>
      </c>
      <c r="C154" s="2">
        <v>12232058.1</v>
      </c>
    </row>
    <row r="155" spans="1:3" x14ac:dyDescent="0.25">
      <c r="A155" t="s">
        <v>85</v>
      </c>
      <c r="B155" t="s">
        <v>565</v>
      </c>
      <c r="C155" s="2">
        <v>12232058.1</v>
      </c>
    </row>
    <row r="156" spans="1:3" x14ac:dyDescent="0.25">
      <c r="A156" t="s">
        <v>85</v>
      </c>
      <c r="B156" t="s">
        <v>335</v>
      </c>
      <c r="C156" s="2">
        <v>111431773.38</v>
      </c>
    </row>
    <row r="157" spans="1:3" x14ac:dyDescent="0.25">
      <c r="A157" t="s">
        <v>85</v>
      </c>
      <c r="B157" t="s">
        <v>336</v>
      </c>
      <c r="C157" s="2">
        <v>111431773.38</v>
      </c>
    </row>
    <row r="158" spans="1:3" x14ac:dyDescent="0.25">
      <c r="A158" t="s">
        <v>85</v>
      </c>
      <c r="B158" t="s">
        <v>337</v>
      </c>
      <c r="C158" s="2">
        <v>91431773.379999995</v>
      </c>
    </row>
    <row r="159" spans="1:3" x14ac:dyDescent="0.25">
      <c r="A159" t="s">
        <v>85</v>
      </c>
      <c r="B159" t="s">
        <v>338</v>
      </c>
      <c r="C159" s="2">
        <v>91431773.379999995</v>
      </c>
    </row>
    <row r="160" spans="1:3" x14ac:dyDescent="0.25">
      <c r="A160" t="s">
        <v>85</v>
      </c>
      <c r="B160" t="s">
        <v>522</v>
      </c>
      <c r="C160" s="2">
        <v>91431773.379999995</v>
      </c>
    </row>
    <row r="161" spans="1:3" x14ac:dyDescent="0.25">
      <c r="A161" t="s">
        <v>85</v>
      </c>
      <c r="B161" t="s">
        <v>523</v>
      </c>
      <c r="C161" s="2">
        <v>79815446.329999998</v>
      </c>
    </row>
    <row r="162" spans="1:3" x14ac:dyDescent="0.25">
      <c r="A162" t="s">
        <v>85</v>
      </c>
      <c r="B162" t="s">
        <v>524</v>
      </c>
      <c r="C162" s="2">
        <v>79815446.329999998</v>
      </c>
    </row>
    <row r="163" spans="1:3" x14ac:dyDescent="0.25">
      <c r="A163" t="s">
        <v>85</v>
      </c>
      <c r="B163" t="s">
        <v>525</v>
      </c>
      <c r="C163" s="2">
        <v>11616327.050000001</v>
      </c>
    </row>
    <row r="164" spans="1:3" x14ac:dyDescent="0.25">
      <c r="A164" t="s">
        <v>85</v>
      </c>
      <c r="B164" t="s">
        <v>526</v>
      </c>
      <c r="C164" s="2">
        <v>11616327.050000001</v>
      </c>
    </row>
    <row r="165" spans="1:3" x14ac:dyDescent="0.25">
      <c r="A165" t="s">
        <v>85</v>
      </c>
      <c r="B165" t="s">
        <v>566</v>
      </c>
      <c r="C165" s="2">
        <v>20000000</v>
      </c>
    </row>
    <row r="166" spans="1:3" x14ac:dyDescent="0.25">
      <c r="A166" t="s">
        <v>85</v>
      </c>
      <c r="B166" t="s">
        <v>567</v>
      </c>
      <c r="C166" s="2">
        <v>20000000</v>
      </c>
    </row>
    <row r="167" spans="1:3" x14ac:dyDescent="0.25">
      <c r="A167" t="s">
        <v>85</v>
      </c>
      <c r="B167" t="s">
        <v>318</v>
      </c>
      <c r="C167" s="2">
        <v>2382148044.9200001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Barreiras - BA (2014) </vt:lpstr>
      <vt:lpstr>Camaçari - BA (2014)</vt:lpstr>
      <vt:lpstr>Barreiras- BA (2015)</vt:lpstr>
      <vt:lpstr>Camaçari - BA (2015)</vt:lpstr>
      <vt:lpstr>Barreiras - BA (2016) </vt:lpstr>
      <vt:lpstr>Camaçari - BA (2016)</vt:lpstr>
      <vt:lpstr>Barreiras - BA (2017)</vt:lpstr>
      <vt:lpstr>Camaçari - BA (2017)</vt:lpstr>
      <vt:lpstr>Barreiras - BA (2018)</vt:lpstr>
      <vt:lpstr>Camaçari - BA (2018)</vt:lpstr>
      <vt:lpstr>Barreiras - BA (2019)</vt:lpstr>
      <vt:lpstr>Camaçari - BA (2019)</vt:lpstr>
      <vt:lpstr>Barreiras - BA (2020)</vt:lpstr>
      <vt:lpstr>Camaçari - BA (2020)</vt:lpstr>
      <vt:lpstr>Barreiras - BA (2021)</vt:lpstr>
      <vt:lpstr>Camaçari - BA (2021)</vt:lpstr>
      <vt:lpstr>Barreiras - BA (2022)</vt:lpstr>
      <vt:lpstr>Camaçari - BA (2022)</vt:lpstr>
      <vt:lpstr>Barreiras - BA (2023)</vt:lpstr>
      <vt:lpstr>Camaçari - BA (2023)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Cunha</dc:creator>
  <cp:lastModifiedBy>João Paulo Cunha</cp:lastModifiedBy>
  <dcterms:created xsi:type="dcterms:W3CDTF">2026-05-07T04:31:57Z</dcterms:created>
  <dcterms:modified xsi:type="dcterms:W3CDTF">2026-05-08T05:00:15Z</dcterms:modified>
</cp:coreProperties>
</file>